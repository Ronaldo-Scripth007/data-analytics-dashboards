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svg" ContentType="image/svg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codeName="EstaPastaDeTrabalho"/>
  <mc:AlternateContent xmlns:mc="http://schemas.openxmlformats.org/markup-compatibility/2006">
    <mc:Choice Requires="x15">
      <x15ac:absPath xmlns:x15ac="http://schemas.microsoft.com/office/spreadsheetml/2010/11/ac" url="C:\Users\RONAL\Desktop\"/>
    </mc:Choice>
  </mc:AlternateContent>
  <xr:revisionPtr revIDLastSave="0" documentId="13_ncr:1_{A048EFE9-83A2-42B0-A668-4AFF97C11340}" xr6:coauthVersionLast="47" xr6:coauthVersionMax="47" xr10:uidLastSave="{00000000-0000-0000-0000-000000000000}"/>
  <bookViews>
    <workbookView xWindow="-28920" yWindow="-45" windowWidth="29040" windowHeight="15720" tabRatio="883" xr2:uid="{1A8553F2-6568-4291-8D37-3AB90BDDD3FA}"/>
  </bookViews>
  <sheets>
    <sheet name="Forecast_Custo " sheetId="1" r:id="rId1"/>
  </sheets>
  <calcPr calcId="191029"/>
  <pivotCaches>
    <pivotCache cacheId="0" r:id="rId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9" i="1" l="1"/>
  <c r="B8" i="1" l="1"/>
  <c r="X7" i="1" l="1"/>
  <c r="AW24" i="1"/>
  <c r="S7" i="1"/>
  <c r="O7" i="1"/>
  <c r="F8" i="1"/>
  <c r="G8" i="1"/>
  <c r="H8" i="1" l="1"/>
  <c r="I8" i="1" l="1"/>
  <c r="Z8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RONALDO RODRIGUES</author>
  </authors>
  <commentList>
    <comment ref="J9" authorId="0" shapeId="0" xr:uid="{BE063E85-38E7-47E3-8C05-1D7ECE0C2CB6}">
      <text>
        <r>
          <rPr>
            <b/>
            <sz val="9"/>
            <color indexed="81"/>
            <rFont val="Segoe UI"/>
            <family val="2"/>
          </rPr>
          <t>RONALDO: Tazay e Vallourec é 2 Pessoas.
Roda 24 H dia.</t>
        </r>
        <r>
          <rPr>
            <sz val="9"/>
            <color indexed="81"/>
            <rFont val="Segoe UI"/>
            <family val="2"/>
          </rPr>
          <t xml:space="preserve">
</t>
        </r>
      </text>
    </comment>
    <comment ref="L9" authorId="0" shapeId="0" xr:uid="{1526E77D-A293-4503-BE68-78295BB646EC}">
      <text>
        <r>
          <rPr>
            <b/>
            <sz val="9"/>
            <color indexed="81"/>
            <rFont val="Segoe UI"/>
            <family val="2"/>
          </rPr>
          <t xml:space="preserve">RONALDO: Placas FJX ok. Placas da tora não tenho acesso ao custo do mês antes do lançamento. Tenho no SAP depois de lançado
</t>
        </r>
        <r>
          <rPr>
            <sz val="9"/>
            <color indexed="81"/>
            <rFont val="Segoe UI"/>
            <family val="2"/>
          </rPr>
          <t xml:space="preserve">
</t>
        </r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BD536BE-1449-46EB-B906-D4494A08439E}" keepAlive="1" name="Consulta - Tabela3" description="Conexão com a consulta 'Tabela3' na pasta de trabalho." type="5" refreshedVersion="8" background="1" saveData="1">
    <dbPr connection="Provider=Microsoft.Mashup.OleDb.1;Data Source=$Workbook$;Location=Tabela3;Extended Properties=&quot;&quot;" command="SELECT * FROM [Tabela3]"/>
  </connection>
</connections>
</file>

<file path=xl/sharedStrings.xml><?xml version="1.0" encoding="utf-8"?>
<sst xmlns="http://schemas.openxmlformats.org/spreadsheetml/2006/main" count="802" uniqueCount="318">
  <si>
    <t>Placa</t>
  </si>
  <si>
    <t>Operação</t>
  </si>
  <si>
    <t>Km Rodado</t>
  </si>
  <si>
    <t>Receita</t>
  </si>
  <si>
    <t>Imposto</t>
  </si>
  <si>
    <t>Receita Liquida</t>
  </si>
  <si>
    <t>Gasto com Pessoal</t>
  </si>
  <si>
    <t>Depreciação</t>
  </si>
  <si>
    <t>Rastreador</t>
  </si>
  <si>
    <t>Ipva e Taxas</t>
  </si>
  <si>
    <t>Seguros</t>
  </si>
  <si>
    <t>Combustivel</t>
  </si>
  <si>
    <t>Contrato Manutenção</t>
  </si>
  <si>
    <t>Locação</t>
  </si>
  <si>
    <t>Serviços Terceiros</t>
  </si>
  <si>
    <t>Pedagios</t>
  </si>
  <si>
    <t>Outros</t>
  </si>
  <si>
    <t xml:space="preserve">Resultado </t>
  </si>
  <si>
    <t>Geração</t>
  </si>
  <si>
    <t>TCM3E92</t>
  </si>
  <si>
    <t>SYU8G68</t>
  </si>
  <si>
    <t>SYY9F88</t>
  </si>
  <si>
    <t>RUV8C77</t>
  </si>
  <si>
    <t>RVF9G10</t>
  </si>
  <si>
    <t>TCM3F15</t>
  </si>
  <si>
    <t>SYV1D77</t>
  </si>
  <si>
    <t>SYU6F16</t>
  </si>
  <si>
    <t>RUV8C67</t>
  </si>
  <si>
    <t>SYU8H87</t>
  </si>
  <si>
    <t>TCQ9I08</t>
  </si>
  <si>
    <t>TCR2G11</t>
  </si>
  <si>
    <t>TCD5B70</t>
  </si>
  <si>
    <t>TCQ9I05</t>
  </si>
  <si>
    <t>TCQ9I43</t>
  </si>
  <si>
    <t>SYU8H70</t>
  </si>
  <si>
    <t>TCQ9I39</t>
  </si>
  <si>
    <t>SYV1D92</t>
  </si>
  <si>
    <t>TCQ9I02</t>
  </si>
  <si>
    <t>SYX7J59</t>
  </si>
  <si>
    <t>TCQ9H96</t>
  </si>
  <si>
    <t>TCM3E95</t>
  </si>
  <si>
    <t>TCQ9I53</t>
  </si>
  <si>
    <t>TCQ9H98</t>
  </si>
  <si>
    <t>TCM3F19</t>
  </si>
  <si>
    <t>SYD6D52</t>
  </si>
  <si>
    <t>SYV1E00</t>
  </si>
  <si>
    <t>SYU6F25</t>
  </si>
  <si>
    <t>SYU8H40</t>
  </si>
  <si>
    <t>SYU8H16</t>
  </si>
  <si>
    <t>SYU8I34</t>
  </si>
  <si>
    <t>TCC6J98</t>
  </si>
  <si>
    <t>TCQ9I56</t>
  </si>
  <si>
    <t>TCC6G73</t>
  </si>
  <si>
    <t>TCC6G69</t>
  </si>
  <si>
    <t>TCC7A05</t>
  </si>
  <si>
    <t>TCC6G67</t>
  </si>
  <si>
    <t>PVR7I41</t>
  </si>
  <si>
    <t>SYU8H58</t>
  </si>
  <si>
    <t>TCC6G75</t>
  </si>
  <si>
    <t>TCD1H67</t>
  </si>
  <si>
    <t>PVR7J29</t>
  </si>
  <si>
    <t>SYU6F98</t>
  </si>
  <si>
    <t>SYW8A28</t>
  </si>
  <si>
    <t>TCQ9I31</t>
  </si>
  <si>
    <t>SYI3I44</t>
  </si>
  <si>
    <t>SYW8A10</t>
  </si>
  <si>
    <t>RUV8D12</t>
  </si>
  <si>
    <t>TCC6G76</t>
  </si>
  <si>
    <t>Empresa</t>
  </si>
  <si>
    <t>TCQ9I48</t>
  </si>
  <si>
    <t>PVR7J77</t>
  </si>
  <si>
    <t>TCC6G79</t>
  </si>
  <si>
    <t>RUV8D08</t>
  </si>
  <si>
    <t>RUV8C90</t>
  </si>
  <si>
    <t>RVG0A74</t>
  </si>
  <si>
    <t>SYK1F69</t>
  </si>
  <si>
    <t>SYT0G01</t>
  </si>
  <si>
    <t>SYS1D93</t>
  </si>
  <si>
    <t>SJD8A67</t>
  </si>
  <si>
    <t>SYS1D47</t>
  </si>
  <si>
    <t>SYT0F85</t>
  </si>
  <si>
    <t>SYS1D84</t>
  </si>
  <si>
    <t>SYT0G07</t>
  </si>
  <si>
    <t>SIT4E53</t>
  </si>
  <si>
    <t>SYT0F99</t>
  </si>
  <si>
    <t>SJB8C72</t>
  </si>
  <si>
    <t>SYT0F92</t>
  </si>
  <si>
    <t>SYT0F94</t>
  </si>
  <si>
    <t>SYS1D90</t>
  </si>
  <si>
    <t>SJE3D93</t>
  </si>
  <si>
    <t>SYS1E05</t>
  </si>
  <si>
    <t>SYS1A66</t>
  </si>
  <si>
    <t>SYS1D51</t>
  </si>
  <si>
    <t>SYT0F98</t>
  </si>
  <si>
    <t>SYT0F88</t>
  </si>
  <si>
    <t>RUP4E22</t>
  </si>
  <si>
    <t>RUP4F42</t>
  </si>
  <si>
    <t>RUP4F47</t>
  </si>
  <si>
    <t>RUI1D24</t>
  </si>
  <si>
    <t>RUI1D32</t>
  </si>
  <si>
    <t>RUI4A10</t>
  </si>
  <si>
    <t>RUI4A50</t>
  </si>
  <si>
    <t>RUI7B73</t>
  </si>
  <si>
    <t>RUI7C22</t>
  </si>
  <si>
    <t>RUP4F35</t>
  </si>
  <si>
    <t>SIR3B41</t>
  </si>
  <si>
    <t>SIT4E44</t>
  </si>
  <si>
    <t>SIT4E42</t>
  </si>
  <si>
    <t>SJB8D17</t>
  </si>
  <si>
    <t>SJD8A74</t>
  </si>
  <si>
    <t>SJD8A85</t>
  </si>
  <si>
    <t>SJD8B12</t>
  </si>
  <si>
    <t>RUP4E42</t>
  </si>
  <si>
    <t>SJB8D22</t>
  </si>
  <si>
    <t>SJB8D53</t>
  </si>
  <si>
    <t>SJB8B96</t>
  </si>
  <si>
    <t>RUI1D28</t>
  </si>
  <si>
    <t>RUI1D23</t>
  </si>
  <si>
    <t>RUI1D13</t>
  </si>
  <si>
    <t>RUI1D33</t>
  </si>
  <si>
    <t>RUI6A50</t>
  </si>
  <si>
    <t>RUI4B63</t>
  </si>
  <si>
    <t>RUI4B78</t>
  </si>
  <si>
    <t>RUI6A51</t>
  </si>
  <si>
    <t>RUI7C56</t>
  </si>
  <si>
    <t>RUI7C54</t>
  </si>
  <si>
    <t>RUI7B23</t>
  </si>
  <si>
    <t>RUI7C18</t>
  </si>
  <si>
    <t>RUI7C27</t>
  </si>
  <si>
    <t>RUI8B28</t>
  </si>
  <si>
    <t>RUI7C26</t>
  </si>
  <si>
    <t>RUP4F32</t>
  </si>
  <si>
    <t>RUP4F59</t>
  </si>
  <si>
    <t>RUP4F50</t>
  </si>
  <si>
    <t>RUP4F38</t>
  </si>
  <si>
    <t>SYU6G38</t>
  </si>
  <si>
    <t>SYU8I68</t>
  </si>
  <si>
    <t>SYU8H82</t>
  </si>
  <si>
    <t>SYW8A15</t>
  </si>
  <si>
    <t>SYU8H50</t>
  </si>
  <si>
    <t>SYU6H34</t>
  </si>
  <si>
    <t>SYU6F06</t>
  </si>
  <si>
    <t>SYU8H30</t>
  </si>
  <si>
    <t>SYX7J60</t>
  </si>
  <si>
    <t>SYX7J55</t>
  </si>
  <si>
    <t>SYY0I86</t>
  </si>
  <si>
    <t>SYX2J67</t>
  </si>
  <si>
    <t>SYY6I01</t>
  </si>
  <si>
    <t>TCM3E98</t>
  </si>
  <si>
    <t>TCM3F72</t>
  </si>
  <si>
    <t>Peças e Acessórios</t>
  </si>
  <si>
    <t xml:space="preserve">Chave  </t>
  </si>
  <si>
    <t>Scania 2024 na 4º Eixo</t>
  </si>
  <si>
    <t>Scania 2024 Na LS - ALUGUEL</t>
  </si>
  <si>
    <t>Scania 2022 Na LS</t>
  </si>
  <si>
    <t>Scania 2023 Na LS</t>
  </si>
  <si>
    <t>Scania 2024 Na LS</t>
  </si>
  <si>
    <t>Fixo</t>
  </si>
  <si>
    <t>Pegar Portal</t>
  </si>
  <si>
    <t>Portal</t>
  </si>
  <si>
    <t>Trend</t>
  </si>
  <si>
    <t>Trend + Meu Lcmt</t>
  </si>
  <si>
    <t>SAP</t>
  </si>
  <si>
    <t>% Diesel</t>
  </si>
  <si>
    <t>Pneus e Camaras</t>
  </si>
  <si>
    <t>Officina Propria</t>
  </si>
  <si>
    <t>Lavagens &amp; Lubrificação</t>
  </si>
  <si>
    <t/>
  </si>
  <si>
    <t>Custos</t>
  </si>
  <si>
    <t xml:space="preserve"> - </t>
  </si>
  <si>
    <t xml:space="preserve"> -     </t>
  </si>
  <si>
    <t xml:space="preserve">    -     </t>
  </si>
  <si>
    <t xml:space="preserve">     -      </t>
  </si>
  <si>
    <t>5 + Faturamento</t>
  </si>
  <si>
    <t xml:space="preserve"> R$ 278.608,76 </t>
  </si>
  <si>
    <t>NOE_F+RRM_RIF</t>
  </si>
  <si>
    <t>AUIGNMRR_EDF_</t>
  </si>
  <si>
    <t>FIRSO__NTPM</t>
  </si>
  <si>
    <t>FRHN-FINDAONEIMN-R</t>
  </si>
  <si>
    <t>R-ZAFAN-MITY</t>
  </si>
  <si>
    <t>LORIMUFVC-ENRLA-</t>
  </si>
  <si>
    <t>CDTB057</t>
  </si>
  <si>
    <t>Y7V1S7D</t>
  </si>
  <si>
    <t>99I3CTQ</t>
  </si>
  <si>
    <t>RT2G1C1</t>
  </si>
  <si>
    <t>43IUY8S</t>
  </si>
  <si>
    <t>ME9C32T</t>
  </si>
  <si>
    <t>SX67J0Y</t>
  </si>
  <si>
    <t>HY88SU7</t>
  </si>
  <si>
    <t>7C05CAT</t>
  </si>
  <si>
    <t>9TC3I5Q</t>
  </si>
  <si>
    <t>9T69CQH</t>
  </si>
  <si>
    <t>MT95C3E</t>
  </si>
  <si>
    <t>CT4IQ39</t>
  </si>
  <si>
    <t>D76SAJ8</t>
  </si>
  <si>
    <t>MTCF193</t>
  </si>
  <si>
    <t>T09I2CQ</t>
  </si>
  <si>
    <t>8Y1SUH6</t>
  </si>
  <si>
    <t>YSF49T0</t>
  </si>
  <si>
    <t>8HUY7S0</t>
  </si>
  <si>
    <t>YIY01S6</t>
  </si>
  <si>
    <t>38SU6YG</t>
  </si>
  <si>
    <t>7TCDH61</t>
  </si>
  <si>
    <t>AY810WS</t>
  </si>
  <si>
    <t>Q0I8CT9</t>
  </si>
  <si>
    <t>V0R9F1G</t>
  </si>
  <si>
    <t>3MT2C7F</t>
  </si>
  <si>
    <t>U68Y8SG</t>
  </si>
  <si>
    <t>SFY62U5</t>
  </si>
  <si>
    <t>SS1Y4D8</t>
  </si>
  <si>
    <t>X5J7YS9</t>
  </si>
  <si>
    <t>UHYS288</t>
  </si>
  <si>
    <t>2Y9S0FT</t>
  </si>
  <si>
    <t>YS44II3</t>
  </si>
  <si>
    <t>9CI05TQ</t>
  </si>
  <si>
    <t>W1SA85Y</t>
  </si>
  <si>
    <t>6USY61F</t>
  </si>
  <si>
    <t>45TE3IS</t>
  </si>
  <si>
    <t>8U3SHY0</t>
  </si>
  <si>
    <t>19SDSY0</t>
  </si>
  <si>
    <t>Y85TFS0</t>
  </si>
  <si>
    <t>U05HS8Y</t>
  </si>
  <si>
    <t>62YDS5D</t>
  </si>
  <si>
    <t>C5M3TF1</t>
  </si>
  <si>
    <t>TF909SY</t>
  </si>
  <si>
    <t>T08SFY8</t>
  </si>
  <si>
    <t>SE933DJ</t>
  </si>
  <si>
    <t>6CGC6T9</t>
  </si>
  <si>
    <t>SHY588U</t>
  </si>
  <si>
    <t>8Y68SIU</t>
  </si>
  <si>
    <t>FS8YY89</t>
  </si>
  <si>
    <t>0YSIY68</t>
  </si>
  <si>
    <t>Y6F6US0</t>
  </si>
  <si>
    <t>3CG67TC</t>
  </si>
  <si>
    <t>C98TE3M</t>
  </si>
  <si>
    <t>W28Y8AS</t>
  </si>
  <si>
    <t>HU3SY46</t>
  </si>
  <si>
    <t>TCG7C65</t>
  </si>
  <si>
    <t>V19S2YD</t>
  </si>
  <si>
    <t>SS0EY51</t>
  </si>
  <si>
    <t>YST1G00</t>
  </si>
  <si>
    <t>R1D3I3U</t>
  </si>
  <si>
    <t>J5Y75SX</t>
  </si>
  <si>
    <t>3PR24UF</t>
  </si>
  <si>
    <t>S8JB2D2</t>
  </si>
  <si>
    <t>38DJS5B</t>
  </si>
  <si>
    <t>UIC62R7</t>
  </si>
  <si>
    <t>2S8CBJ7</t>
  </si>
  <si>
    <t>VC7U8R7</t>
  </si>
  <si>
    <t>CV6U7R8</t>
  </si>
  <si>
    <t>CG6T67C</t>
  </si>
  <si>
    <t>Y7GS0T0</t>
  </si>
  <si>
    <t>YDS1S51</t>
  </si>
  <si>
    <t>3S9DY1S</t>
  </si>
  <si>
    <t>2R9PVJ7</t>
  </si>
  <si>
    <t>S6SY1A6</t>
  </si>
  <si>
    <t>U045RPF</t>
  </si>
  <si>
    <t>47SSD1Y</t>
  </si>
  <si>
    <t>9C6CJ8T</t>
  </si>
  <si>
    <t>8Q9H9CT</t>
  </si>
  <si>
    <t>FS6Y9K1</t>
  </si>
  <si>
    <t>RPU4F38</t>
  </si>
  <si>
    <t>U3IRB64</t>
  </si>
  <si>
    <t>0YUH84S</t>
  </si>
  <si>
    <t>C5Q9TI6</t>
  </si>
  <si>
    <t>U7BI3R2</t>
  </si>
  <si>
    <t>4E42ITS</t>
  </si>
  <si>
    <t>JS1B28D</t>
  </si>
  <si>
    <t>4R1BSI3</t>
  </si>
  <si>
    <t>SAJD885</t>
  </si>
  <si>
    <t>7A48JDS</t>
  </si>
  <si>
    <t>6UY9FS8</t>
  </si>
  <si>
    <t>P7JVR77</t>
  </si>
  <si>
    <t>I1PR4V7</t>
  </si>
  <si>
    <t>7R7IU3B</t>
  </si>
  <si>
    <t>GC9C67T</t>
  </si>
  <si>
    <t>01VYE0S</t>
  </si>
  <si>
    <t>8URD21I</t>
  </si>
  <si>
    <t>8IRB4U7</t>
  </si>
  <si>
    <t>IR277UC</t>
  </si>
  <si>
    <t>U4IAR10</t>
  </si>
  <si>
    <t>PR2E4U4</t>
  </si>
  <si>
    <t>TSIE444</t>
  </si>
  <si>
    <t>IUC75R6</t>
  </si>
  <si>
    <t>C817IRU</t>
  </si>
  <si>
    <t>28B8URI</t>
  </si>
  <si>
    <t>SJD817B</t>
  </si>
  <si>
    <t>SB9JB86</t>
  </si>
  <si>
    <t>4DI2RU1</t>
  </si>
  <si>
    <t>5I6RU0A</t>
  </si>
  <si>
    <t>C91TQ3I</t>
  </si>
  <si>
    <t>CTIQ894</t>
  </si>
  <si>
    <t>8R8U0DV</t>
  </si>
  <si>
    <t>1VRU2D8</t>
  </si>
  <si>
    <t>CCGT766</t>
  </si>
  <si>
    <t>8V90CUR</t>
  </si>
  <si>
    <t>VG4AR07</t>
  </si>
  <si>
    <t>S908FTY</t>
  </si>
  <si>
    <t>42E2PRU</t>
  </si>
  <si>
    <t>U424RPF</t>
  </si>
  <si>
    <t>47FR4PU</t>
  </si>
  <si>
    <t>DIU312R</t>
  </si>
  <si>
    <t>U405IRA</t>
  </si>
  <si>
    <t>I72RUC2</t>
  </si>
  <si>
    <t>4FRU35P</t>
  </si>
  <si>
    <t>URI231D</t>
  </si>
  <si>
    <t>I1DR1U3</t>
  </si>
  <si>
    <t>UI5R1A6</t>
  </si>
  <si>
    <t>CU47R5I</t>
  </si>
  <si>
    <t>495URPF</t>
  </si>
  <si>
    <t>2S6YX7J</t>
  </si>
  <si>
    <t>LOGY</t>
  </si>
  <si>
    <t>RSR-X</t>
  </si>
  <si>
    <t>SYX8A15</t>
  </si>
  <si>
    <t>SNU8H78</t>
  </si>
  <si>
    <t>SYO6F23</t>
  </si>
  <si>
    <t>TCX9I45</t>
  </si>
  <si>
    <t>TXM3G96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</si>
</sst>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-&quot;R$&quot;\ * #,##0.00_-;\-&quot;R$&quot;\ * #,##0.00_-;_-&quot;R$&quot;\ * &quot;-&quot;??_-;_-@_-"/>
    <numFmt numFmtId="43" formatCode="_-* #,##0.00_-;\-* #,##0.00_-;_-* &quot;-&quot;??_-;_-@_-"/>
    <numFmt numFmtId="164" formatCode="&quot;R$&quot;\ #,##0.00"/>
  </numFmts>
  <fonts count="9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  <font>
      <b/>
      <i/>
      <sz val="9"/>
      <color theme="1"/>
      <name val="Aptos Narrow"/>
      <family val="2"/>
      <scheme val="minor"/>
    </font>
    <font>
      <sz val="9"/>
      <color indexed="81"/>
      <name val="Segoe UI"/>
      <family val="2"/>
    </font>
    <font>
      <b/>
      <sz val="9"/>
      <color indexed="81"/>
      <name val="Segoe UI"/>
      <family val="2"/>
    </font>
    <font>
      <sz val="9"/>
      <color theme="1" tint="4.9989318521683403E-2"/>
      <name val="Aptos Narrow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1" tint="4.9989318521683403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rgb="FFF6BFA0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3" tint="0.249977111117893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2" tint="-9.9978637043366805E-2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theme="9"/>
      </top>
      <bottom/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43" fontId="1" fillId="0" borderId="0" applyFont="0" applyFill="0" applyBorder="0" applyAlignment="0" applyProtection="0"/>
  </cellStyleXfs>
  <cellXfs count="42">
    <xf numFmtId="0" fontId="0" fillId="0" borderId="0" xfId="0"/>
    <xf numFmtId="0" fontId="3" fillId="0" borderId="0" xfId="0" applyFont="1" applyAlignment="1">
      <alignment horizontal="center" vertical="center"/>
    </xf>
    <xf numFmtId="0" fontId="3" fillId="0" borderId="0" xfId="0" applyFont="1"/>
    <xf numFmtId="14" fontId="3" fillId="0" borderId="0" xfId="0" applyNumberFormat="1" applyFont="1"/>
    <xf numFmtId="0" fontId="3" fillId="0" borderId="0" xfId="0" applyFont="1" applyAlignment="1">
      <alignment horizontal="center"/>
    </xf>
    <xf numFmtId="44" fontId="3" fillId="0" borderId="0" xfId="1" applyFont="1"/>
    <xf numFmtId="44" fontId="3" fillId="0" borderId="0" xfId="0" applyNumberFormat="1" applyFont="1"/>
    <xf numFmtId="0" fontId="3" fillId="4" borderId="0" xfId="0" applyFont="1" applyFill="1" applyAlignment="1">
      <alignment horizontal="center"/>
    </xf>
    <xf numFmtId="164" fontId="3" fillId="0" borderId="0" xfId="1" applyNumberFormat="1" applyFont="1" applyAlignment="1">
      <alignment horizontal="center"/>
    </xf>
    <xf numFmtId="44" fontId="3" fillId="0" borderId="0" xfId="1" applyFont="1" applyFill="1"/>
    <xf numFmtId="0" fontId="3" fillId="0" borderId="0" xfId="0" applyFont="1" applyAlignment="1">
      <alignment horizontal="left" vertical="center"/>
    </xf>
    <xf numFmtId="0" fontId="3" fillId="4" borderId="0" xfId="0" applyFont="1" applyFill="1" applyAlignment="1">
      <alignment horizontal="left"/>
    </xf>
    <xf numFmtId="164" fontId="3" fillId="0" borderId="0" xfId="1" applyNumberFormat="1" applyFont="1"/>
    <xf numFmtId="0" fontId="4" fillId="0" borderId="0" xfId="0" applyFont="1"/>
    <xf numFmtId="0" fontId="5" fillId="0" borderId="0" xfId="0" applyFont="1" applyAlignment="1">
      <alignment horizontal="center" vertical="center"/>
    </xf>
    <xf numFmtId="0" fontId="3" fillId="7" borderId="0" xfId="0" applyFont="1" applyFill="1" applyAlignment="1">
      <alignment horizontal="left" vertical="center"/>
    </xf>
    <xf numFmtId="0" fontId="3" fillId="8" borderId="0" xfId="0" applyFont="1" applyFill="1" applyAlignment="1">
      <alignment horizontal="left" vertical="center"/>
    </xf>
    <xf numFmtId="164" fontId="3" fillId="4" borderId="0" xfId="1" applyNumberFormat="1" applyFont="1" applyFill="1"/>
    <xf numFmtId="164" fontId="3" fillId="5" borderId="0" xfId="0" applyNumberFormat="1" applyFont="1" applyFill="1"/>
    <xf numFmtId="164" fontId="3" fillId="6" borderId="0" xfId="0" applyNumberFormat="1" applyFont="1" applyFill="1"/>
    <xf numFmtId="164" fontId="3" fillId="0" borderId="0" xfId="1" quotePrefix="1" applyNumberFormat="1" applyFont="1"/>
    <xf numFmtId="164" fontId="3" fillId="0" borderId="0" xfId="1" applyNumberFormat="1" applyFont="1" applyAlignment="1">
      <alignment horizontal="center" vertical="center"/>
    </xf>
    <xf numFmtId="9" fontId="3" fillId="9" borderId="0" xfId="2" applyFont="1" applyFill="1" applyAlignment="1">
      <alignment horizontal="center"/>
    </xf>
    <xf numFmtId="164" fontId="3" fillId="4" borderId="0" xfId="0" applyNumberFormat="1" applyFont="1" applyFill="1" applyAlignment="1">
      <alignment horizontal="left"/>
    </xf>
    <xf numFmtId="0" fontId="3" fillId="2" borderId="0" xfId="0" applyFont="1" applyFill="1"/>
    <xf numFmtId="0" fontId="3" fillId="2" borderId="0" xfId="0" applyFont="1" applyFill="1" applyAlignment="1">
      <alignment horizontal="center"/>
    </xf>
    <xf numFmtId="44" fontId="3" fillId="2" borderId="0" xfId="0" applyNumberFormat="1" applyFont="1" applyFill="1"/>
    <xf numFmtId="43" fontId="3" fillId="4" borderId="0" xfId="3" applyFont="1" applyFill="1" applyAlignment="1">
      <alignment vertical="center"/>
    </xf>
    <xf numFmtId="0" fontId="0" fillId="0" borderId="0" xfId="0" pivotButton="1"/>
    <xf numFmtId="44" fontId="0" fillId="0" borderId="0" xfId="0" applyNumberFormat="1"/>
    <xf numFmtId="44" fontId="3" fillId="5" borderId="0" xfId="0" applyNumberFormat="1" applyFont="1" applyFill="1"/>
    <xf numFmtId="164" fontId="8" fillId="2" borderId="0" xfId="0" applyNumberFormat="1" applyFont="1" applyFill="1"/>
    <xf numFmtId="164" fontId="3" fillId="0" borderId="1" xfId="1" applyNumberFormat="1" applyFont="1" applyBorder="1"/>
    <xf numFmtId="44" fontId="3" fillId="4" borderId="0" xfId="0" applyNumberFormat="1" applyFont="1" applyFill="1"/>
    <xf numFmtId="164" fontId="3" fillId="0" borderId="0" xfId="0" applyNumberFormat="1" applyFont="1" applyAlignment="1">
      <alignment horizontal="center"/>
    </xf>
    <xf numFmtId="164" fontId="3" fillId="0" borderId="0" xfId="0" applyNumberFormat="1" applyFont="1"/>
    <xf numFmtId="9" fontId="3" fillId="9" borderId="0" xfId="0" applyNumberFormat="1" applyFont="1" applyFill="1" applyAlignment="1">
      <alignment horizontal="center"/>
    </xf>
    <xf numFmtId="164" fontId="3" fillId="0" borderId="0" xfId="0" applyNumberFormat="1" applyFont="1" applyAlignment="1">
      <alignment horizontal="center" vertical="center"/>
    </xf>
    <xf numFmtId="0" fontId="3" fillId="3" borderId="0" xfId="0" applyFont="1" applyFill="1"/>
    <xf numFmtId="0" fontId="3" fillId="10" borderId="0" xfId="0" applyFont="1" applyFill="1"/>
    <xf numFmtId="0" fontId="3" fillId="10" borderId="0" xfId="0" applyFont="1" applyFill="1" applyAlignment="1">
      <alignment horizontal="center"/>
    </xf>
    <xf numFmtId="0" fontId="3" fillId="10" borderId="0" xfId="0" applyFont="1" applyFill="1" applyAlignment="1">
      <alignment horizontal="center" vertical="center"/>
    </xf>
  </cellXfs>
  <cellStyles count="4">
    <cellStyle name="Moeda" xfId="1" builtinId="4"/>
    <cellStyle name="Normal" xfId="0" builtinId="0"/>
    <cellStyle name="Porcentagem" xfId="2" builtinId="5"/>
    <cellStyle name="Vírgula" xfId="3" builtinId="3"/>
  </cellStyles>
  <dxfs count="70"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79998168889431442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3" formatCode="0%"/>
      <fill>
        <patternFill patternType="solid">
          <fgColor indexed="64"/>
          <bgColor theme="9" tint="0.79998168889431442"/>
        </patternFill>
      </fill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164" formatCode="&quot;R$&quot;\ #,##0.00"/>
      <alignment horizontal="center" vertical="bottom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34" formatCode="_-&quot;R$&quot;\ * #,##0.00_-;\-&quot;R$&quot;\ * #,##0.00_-;_-&quot;R$&quot;\ * &quot;-&quot;??_-;_-@_-"/>
      <fill>
        <patternFill patternType="solid">
          <fgColor indexed="64"/>
          <bgColor theme="5" tint="0.59999389629810485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fill>
        <patternFill patternType="solid">
          <fgColor indexed="64"/>
          <bgColor theme="5" tint="0.79998168889431442"/>
        </patternFill>
      </fill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  <alignment horizont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numFmt numFmtId="0" formatCode="General"/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</dxf>
    <dxf>
      <font>
        <strike val="0"/>
        <outline val="0"/>
        <shadow val="0"/>
        <u val="none"/>
        <vertAlign val="baseline"/>
        <sz val="9"/>
        <color theme="1"/>
        <name val="Aptos Narrow"/>
        <family val="2"/>
        <scheme val="minor"/>
      </font>
      <alignment horizontal="left" vertical="center" textRotation="0" wrapText="0" indent="0" justifyLastLine="0" shrinkToFit="0" readingOrder="0"/>
    </dxf>
    <dxf>
      <numFmt numFmtId="34" formatCode="_-&quot;R$&quot;\ * #,##0.00_-;\-&quot;R$&quot;\ * #,##0.00_-;_-&quot;R$&quot;\ * &quot;-&quot;??_-;_-@_-"/>
    </dxf>
  </dxfs>
  <tableStyles count="0" defaultTableStyle="TableStyleMedium2" defaultPivotStyle="PivotStyleLight16"/>
  <colors>
    <mruColors>
      <color rgb="FF2E8B57"/>
      <color rgb="FF1F1F1F"/>
      <color rgb="FF21932F"/>
      <color rgb="FFF5F7FA"/>
      <color rgb="FF1F4E79"/>
      <color rgb="FFF6BFA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theme" Target="theme/theme1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2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11" Type="http://schemas.openxmlformats.org/officeDocument/2006/relationships/customXml" Target="../customXml/item4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connections" Target="connections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bg1"/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'Forecast_Custo '!$BH$21</c:f>
              <c:strCache>
                <c:ptCount val="1"/>
                <c:pt idx="0">
                  <c:v>5 + Faturamento</c:v>
                </c:pt>
              </c:strCache>
            </c:strRef>
          </c:tx>
          <c:spPr>
            <a:ln w="28575" cap="rnd">
              <a:solidFill>
                <a:srgbClr val="2E8B5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'Forecast_Custo '!$BI$22:$BI$26</c:f>
              <c:strCache>
                <c:ptCount val="5"/>
                <c:pt idx="0">
                  <c:v>SYX8A15</c:v>
                </c:pt>
                <c:pt idx="1">
                  <c:v>SNU8H78</c:v>
                </c:pt>
                <c:pt idx="2">
                  <c:v>SYO6F23</c:v>
                </c:pt>
                <c:pt idx="3">
                  <c:v>TCX9I45</c:v>
                </c:pt>
                <c:pt idx="4">
                  <c:v>TXM3G96</c:v>
                </c:pt>
              </c:strCache>
            </c:strRef>
          </c:cat>
          <c:val>
            <c:numRef>
              <c:f>'Forecast_Custo '!$BH$22:$BH$26</c:f>
              <c:numCache>
                <c:formatCode>_("R$"* #,##0.00_);_("R$"* \(#,##0.00\);_("R$"* "-"??_);_(@_)</c:formatCode>
                <c:ptCount val="5"/>
                <c:pt idx="0">
                  <c:v>17445.34</c:v>
                </c:pt>
                <c:pt idx="1">
                  <c:v>17839.519999999997</c:v>
                </c:pt>
                <c:pt idx="2">
                  <c:v>18168.740000000002</c:v>
                </c:pt>
                <c:pt idx="3">
                  <c:v>18229.099999999999</c:v>
                </c:pt>
                <c:pt idx="4">
                  <c:v>18885.659999999996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9E5C-44D1-899F-595049D30BA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253696"/>
        <c:axId val="1961255616"/>
      </c:lineChart>
      <c:catAx>
        <c:axId val="19612536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1255616"/>
        <c:crosses val="autoZero"/>
        <c:auto val="1"/>
        <c:lblAlgn val="ctr"/>
        <c:lblOffset val="100"/>
        <c:noMultiLvlLbl val="0"/>
      </c:catAx>
      <c:valAx>
        <c:axId val="1961255616"/>
        <c:scaling>
          <c:orientation val="minMax"/>
          <c:max val="20000"/>
          <c:min val="17000"/>
        </c:scaling>
        <c:delete val="1"/>
        <c:axPos val="l"/>
        <c:numFmt formatCode="_(&quot;R$&quot;* #,##0.00_);_(&quot;R$&quot;* \(#,##0.00\);_(&quot;R$&quot;* &quot;-&quot;??_);_(@_)" sourceLinked="1"/>
        <c:majorTickMark val="none"/>
        <c:minorTickMark val="none"/>
        <c:tickLblPos val="nextTo"/>
        <c:crossAx val="1961253696"/>
        <c:crosses val="autoZero"/>
        <c:crossBetween val="between"/>
      </c:valAx>
      <c:spPr>
        <a:noFill/>
        <a:ln w="25400"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pt-BR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pt-BR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'Forecast_Custo '!$BH$21</c:f>
              <c:strCache>
                <c:ptCount val="1"/>
                <c:pt idx="0">
                  <c:v>5 + Faturamento</c:v>
                </c:pt>
              </c:strCache>
            </c:strRef>
          </c:tx>
          <c:spPr>
            <a:ln w="28575" cap="rnd">
              <a:solidFill>
                <a:srgbClr val="2E8B57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bg1"/>
                    </a:solidFill>
                    <a:latin typeface="+mn-lt"/>
                    <a:ea typeface="+mn-ea"/>
                    <a:cs typeface="+mn-cs"/>
                  </a:defRPr>
                </a:pPr>
                <a:endParaRPr lang="pt-BR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'Forecast_Custo '!$BI$22:$BI$26</c:f>
              <c:strCache>
                <c:ptCount val="5"/>
                <c:pt idx="0">
                  <c:v>SYX8A15</c:v>
                </c:pt>
                <c:pt idx="1">
                  <c:v>SNU8H78</c:v>
                </c:pt>
                <c:pt idx="2">
                  <c:v>SYO6F23</c:v>
                </c:pt>
                <c:pt idx="3">
                  <c:v>TCX9I45</c:v>
                </c:pt>
                <c:pt idx="4">
                  <c:v>TXM3G96</c:v>
                </c:pt>
              </c:strCache>
            </c:strRef>
          </c:cat>
          <c:val>
            <c:numRef>
              <c:f>'Forecast_Custo '!$BH$22:$BH$26</c:f>
              <c:numCache>
                <c:formatCode>_("R$"* #,##0.00_);_("R$"* \(#,##0.00\);_("R$"* "-"??_);_(@_)</c:formatCode>
                <c:ptCount val="5"/>
                <c:pt idx="0">
                  <c:v>17445.34</c:v>
                </c:pt>
                <c:pt idx="1">
                  <c:v>17839.519999999997</c:v>
                </c:pt>
                <c:pt idx="2">
                  <c:v>18168.740000000002</c:v>
                </c:pt>
                <c:pt idx="3">
                  <c:v>18229.099999999999</c:v>
                </c:pt>
                <c:pt idx="4">
                  <c:v>18885.659999999996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C0AD-4AE9-98D4-29A6AFA3E65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61253696"/>
        <c:axId val="1961255616"/>
      </c:lineChart>
      <c:catAx>
        <c:axId val="1961253696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noFill/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bg1"/>
                </a:solidFill>
                <a:latin typeface="+mn-lt"/>
                <a:ea typeface="+mn-ea"/>
                <a:cs typeface="+mn-cs"/>
              </a:defRPr>
            </a:pPr>
            <a:endParaRPr lang="pt-BR"/>
          </a:p>
        </c:txPr>
        <c:crossAx val="1961255616"/>
        <c:crosses val="autoZero"/>
        <c:auto val="1"/>
        <c:lblAlgn val="ctr"/>
        <c:lblOffset val="100"/>
        <c:noMultiLvlLbl val="0"/>
      </c:catAx>
      <c:valAx>
        <c:axId val="1961255616"/>
        <c:scaling>
          <c:orientation val="minMax"/>
          <c:max val="20000"/>
          <c:min val="17000"/>
        </c:scaling>
        <c:delete val="1"/>
        <c:axPos val="l"/>
        <c:numFmt formatCode="_(&quot;R$&quot;* #,##0.00_);_(&quot;R$&quot;* \(#,##0.00\);_(&quot;R$&quot;* &quot;-&quot;??_);_(@_)" sourceLinked="1"/>
        <c:majorTickMark val="out"/>
        <c:minorTickMark val="none"/>
        <c:tickLblPos val="nextTo"/>
        <c:crossAx val="196125369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noFill/>
    <a:ln w="9525" cap="flat" cmpd="sng" algn="ctr">
      <a:noFill/>
      <a:round/>
    </a:ln>
    <a:effectLst/>
  </c:spPr>
  <c:txPr>
    <a:bodyPr/>
    <a:lstStyle/>
    <a:p>
      <a:pPr>
        <a:defRPr/>
      </a:pPr>
      <a:endParaRPr lang="pt-BR"/>
    </a:p>
  </c:txPr>
  <c:printSettings>
    <c:headerFooter/>
    <c:pageMargins b="0.78740157499999996" l="0.511811024" r="0.511811024" t="0.78740157499999996" header="0.31496062000000002" footer="0.31496062000000002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svg"/><Relationship Id="rId13" Type="http://schemas.openxmlformats.org/officeDocument/2006/relationships/chart" Target="../charts/chart1.xml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svg"/><Relationship Id="rId2" Type="http://schemas.openxmlformats.org/officeDocument/2006/relationships/image" Target="../media/image2.svg"/><Relationship Id="rId1" Type="http://schemas.openxmlformats.org/officeDocument/2006/relationships/image" Target="../media/image1.png"/><Relationship Id="rId6" Type="http://schemas.openxmlformats.org/officeDocument/2006/relationships/image" Target="../media/image6.sv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5" Type="http://schemas.openxmlformats.org/officeDocument/2006/relationships/image" Target="../media/image13.png"/><Relationship Id="rId10" Type="http://schemas.openxmlformats.org/officeDocument/2006/relationships/image" Target="../media/image10.svg"/><Relationship Id="rId4" Type="http://schemas.openxmlformats.org/officeDocument/2006/relationships/image" Target="../media/image4.svg"/><Relationship Id="rId9" Type="http://schemas.openxmlformats.org/officeDocument/2006/relationships/image" Target="../media/image9.png"/><Relationship Id="rId14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222252</xdr:colOff>
      <xdr:row>0</xdr:row>
      <xdr:rowOff>74083</xdr:rowOff>
    </xdr:from>
    <xdr:to>
      <xdr:col>6</xdr:col>
      <xdr:colOff>0</xdr:colOff>
      <xdr:row>5</xdr:row>
      <xdr:rowOff>52916</xdr:rowOff>
    </xdr:to>
    <xdr:sp macro="" textlink="">
      <xdr:nvSpPr>
        <xdr:cNvPr id="4" name="Retângulo: Cantos Arredondados 3">
          <a:extLst>
            <a:ext uri="{FF2B5EF4-FFF2-40B4-BE49-F238E27FC236}">
              <a16:creationId xmlns:a16="http://schemas.microsoft.com/office/drawing/2014/main" id="{01F82104-4EB8-4067-B988-6F02599B38C9}"/>
            </a:ext>
          </a:extLst>
        </xdr:cNvPr>
        <xdr:cNvSpPr/>
      </xdr:nvSpPr>
      <xdr:spPr>
        <a:xfrm>
          <a:off x="3005669" y="74083"/>
          <a:ext cx="2127248" cy="751416"/>
        </a:xfrm>
        <a:prstGeom prst="roundRect">
          <a:avLst>
            <a:gd name="adj" fmla="val 13850"/>
          </a:avLst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8100000" sx="102000" sy="102000" algn="tr" rotWithShape="0">
            <a:schemeClr val="bg1">
              <a:alpha val="5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>
            <a:ln>
              <a:noFill/>
            </a:ln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4</xdr:col>
      <xdr:colOff>582081</xdr:colOff>
      <xdr:row>3</xdr:row>
      <xdr:rowOff>21166</xdr:rowOff>
    </xdr:from>
    <xdr:to>
      <xdr:col>5</xdr:col>
      <xdr:colOff>698500</xdr:colOff>
      <xdr:row>4</xdr:row>
      <xdr:rowOff>169334</xdr:rowOff>
    </xdr:to>
    <xdr:sp macro="" textlink="$G$8">
      <xdr:nvSpPr>
        <xdr:cNvPr id="6" name="CaixaDeTexto 5">
          <a:extLst>
            <a:ext uri="{FF2B5EF4-FFF2-40B4-BE49-F238E27FC236}">
              <a16:creationId xmlns:a16="http://schemas.microsoft.com/office/drawing/2014/main" id="{F904F86A-C636-C270-C1EF-D3A1031B2C16}"/>
            </a:ext>
          </a:extLst>
        </xdr:cNvPr>
        <xdr:cNvSpPr txBox="1"/>
      </xdr:nvSpPr>
      <xdr:spPr>
        <a:xfrm>
          <a:off x="3365498" y="465666"/>
          <a:ext cx="1608669" cy="296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F967EB80-148C-4109-87DE-BE0EE7A1F2FE}" type="TxLink">
            <a:rPr lang="en-US" sz="1200" b="0" i="0" u="none" strike="noStrike">
              <a:solidFill>
                <a:schemeClr val="bg1"/>
              </a:solidFill>
              <a:latin typeface="MonSTERRAT"/>
            </a:rPr>
            <a:pPr algn="ctr"/>
            <a:t>R$ 503.506,68</a:t>
          </a:fld>
          <a:endParaRPr lang="pt-BR" sz="1200">
            <a:solidFill>
              <a:schemeClr val="bg1"/>
            </a:solidFill>
            <a:latin typeface="MonSTERRAT"/>
          </a:endParaRPr>
        </a:p>
      </xdr:txBody>
    </xdr:sp>
    <xdr:clientData/>
  </xdr:twoCellAnchor>
  <xdr:twoCellAnchor editAs="oneCell">
    <xdr:from>
      <xdr:col>4</xdr:col>
      <xdr:colOff>296335</xdr:colOff>
      <xdr:row>2</xdr:row>
      <xdr:rowOff>0</xdr:rowOff>
    </xdr:from>
    <xdr:to>
      <xdr:col>4</xdr:col>
      <xdr:colOff>663955</xdr:colOff>
      <xdr:row>4</xdr:row>
      <xdr:rowOff>59856</xdr:rowOff>
    </xdr:to>
    <xdr:pic>
      <xdr:nvPicPr>
        <xdr:cNvPr id="11" name="Gráfico 10" descr="Dinheiro com preenchimento sólido">
          <a:extLst>
            <a:ext uri="{FF2B5EF4-FFF2-40B4-BE49-F238E27FC236}">
              <a16:creationId xmlns:a16="http://schemas.microsoft.com/office/drawing/2014/main" id="{91DB5A09-089A-AC17-C72A-784D37663435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96DAC541-7B7A-43D3-8B79-37D633B846F1}">
              <asvg:svgBlip xmlns:asvg="http://schemas.microsoft.com/office/drawing/2016/SVG/main" r:embed="rId2"/>
            </a:ext>
          </a:extLst>
        </a:blip>
        <a:stretch>
          <a:fillRect/>
        </a:stretch>
      </xdr:blipFill>
      <xdr:spPr>
        <a:xfrm>
          <a:off x="3079752" y="296333"/>
          <a:ext cx="360000" cy="360000"/>
        </a:xfrm>
        <a:prstGeom prst="rect">
          <a:avLst/>
        </a:prstGeom>
      </xdr:spPr>
    </xdr:pic>
    <xdr:clientData/>
  </xdr:twoCellAnchor>
  <xdr:twoCellAnchor>
    <xdr:from>
      <xdr:col>4</xdr:col>
      <xdr:colOff>846666</xdr:colOff>
      <xdr:row>0</xdr:row>
      <xdr:rowOff>84668</xdr:rowOff>
    </xdr:from>
    <xdr:to>
      <xdr:col>5</xdr:col>
      <xdr:colOff>730250</xdr:colOff>
      <xdr:row>2</xdr:row>
      <xdr:rowOff>63502</xdr:rowOff>
    </xdr:to>
    <xdr:sp macro="" textlink="">
      <xdr:nvSpPr>
        <xdr:cNvPr id="20" name="CaixaDeTexto 19">
          <a:extLst>
            <a:ext uri="{FF2B5EF4-FFF2-40B4-BE49-F238E27FC236}">
              <a16:creationId xmlns:a16="http://schemas.microsoft.com/office/drawing/2014/main" id="{D8851C28-648B-0FAF-2501-A586AAD4EE0A}"/>
            </a:ext>
          </a:extLst>
        </xdr:cNvPr>
        <xdr:cNvSpPr txBox="1"/>
      </xdr:nvSpPr>
      <xdr:spPr>
        <a:xfrm>
          <a:off x="3630083" y="84668"/>
          <a:ext cx="1375834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bg1"/>
              </a:solidFill>
              <a:latin typeface="MonSTERRAT"/>
              <a:ea typeface="+mn-ea"/>
              <a:cs typeface="+mn-cs"/>
            </a:rPr>
            <a:t>Receita</a:t>
          </a:r>
          <a:r>
            <a:rPr lang="pt-BR" sz="1300" b="1">
              <a:solidFill>
                <a:schemeClr val="bg1"/>
              </a:solidFill>
              <a:latin typeface="MonSTERRAT"/>
            </a:rPr>
            <a:t> Bruta</a:t>
          </a:r>
        </a:p>
        <a:p>
          <a:endParaRPr lang="pt-BR" sz="1100"/>
        </a:p>
      </xdr:txBody>
    </xdr:sp>
    <xdr:clientData/>
  </xdr:twoCellAnchor>
  <xdr:twoCellAnchor>
    <xdr:from>
      <xdr:col>6</xdr:col>
      <xdr:colOff>587377</xdr:colOff>
      <xdr:row>0</xdr:row>
      <xdr:rowOff>74083</xdr:rowOff>
    </xdr:from>
    <xdr:to>
      <xdr:col>8</xdr:col>
      <xdr:colOff>640292</xdr:colOff>
      <xdr:row>5</xdr:row>
      <xdr:rowOff>52916</xdr:rowOff>
    </xdr:to>
    <xdr:sp macro="" textlink="">
      <xdr:nvSpPr>
        <xdr:cNvPr id="26" name="Retângulo: Cantos Arredondados 25">
          <a:extLst>
            <a:ext uri="{FF2B5EF4-FFF2-40B4-BE49-F238E27FC236}">
              <a16:creationId xmlns:a16="http://schemas.microsoft.com/office/drawing/2014/main" id="{AE4396FC-3DB6-4A6D-8580-C9EE2D669C75}"/>
            </a:ext>
          </a:extLst>
        </xdr:cNvPr>
        <xdr:cNvSpPr/>
      </xdr:nvSpPr>
      <xdr:spPr>
        <a:xfrm>
          <a:off x="5720294" y="74083"/>
          <a:ext cx="2127248" cy="751416"/>
        </a:xfrm>
        <a:prstGeom prst="roundRect">
          <a:avLst>
            <a:gd name="adj" fmla="val 13850"/>
          </a:avLst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8100000" sx="102000" sy="102000" algn="tr" rotWithShape="0">
            <a:schemeClr val="bg1">
              <a:alpha val="5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>
            <a:ln>
              <a:noFill/>
            </a:ln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9</xdr:col>
      <xdr:colOff>10586</xdr:colOff>
      <xdr:row>0</xdr:row>
      <xdr:rowOff>74083</xdr:rowOff>
    </xdr:from>
    <xdr:to>
      <xdr:col>11</xdr:col>
      <xdr:colOff>95250</xdr:colOff>
      <xdr:row>5</xdr:row>
      <xdr:rowOff>52916</xdr:rowOff>
    </xdr:to>
    <xdr:sp macro="" textlink="">
      <xdr:nvSpPr>
        <xdr:cNvPr id="27" name="Retângulo: Cantos Arredondados 26">
          <a:extLst>
            <a:ext uri="{FF2B5EF4-FFF2-40B4-BE49-F238E27FC236}">
              <a16:creationId xmlns:a16="http://schemas.microsoft.com/office/drawing/2014/main" id="{50F3A9D3-58F3-4E14-A19F-602D82BDE06A}"/>
            </a:ext>
          </a:extLst>
        </xdr:cNvPr>
        <xdr:cNvSpPr/>
      </xdr:nvSpPr>
      <xdr:spPr>
        <a:xfrm>
          <a:off x="8434919" y="74083"/>
          <a:ext cx="2127248" cy="751416"/>
        </a:xfrm>
        <a:prstGeom prst="roundRect">
          <a:avLst>
            <a:gd name="adj" fmla="val 13850"/>
          </a:avLst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8100000" sx="102000" sy="102000" algn="tr" rotWithShape="0">
            <a:schemeClr val="bg1">
              <a:alpha val="5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>
            <a:ln>
              <a:noFill/>
            </a:ln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11</xdr:col>
      <xdr:colOff>682627</xdr:colOff>
      <xdr:row>0</xdr:row>
      <xdr:rowOff>74083</xdr:rowOff>
    </xdr:from>
    <xdr:to>
      <xdr:col>13</xdr:col>
      <xdr:colOff>947209</xdr:colOff>
      <xdr:row>5</xdr:row>
      <xdr:rowOff>52916</xdr:rowOff>
    </xdr:to>
    <xdr:sp macro="" textlink="">
      <xdr:nvSpPr>
        <xdr:cNvPr id="28" name="Retângulo: Cantos Arredondados 27">
          <a:extLst>
            <a:ext uri="{FF2B5EF4-FFF2-40B4-BE49-F238E27FC236}">
              <a16:creationId xmlns:a16="http://schemas.microsoft.com/office/drawing/2014/main" id="{8586C013-C70E-42F1-9561-7AAE436B167B}"/>
            </a:ext>
          </a:extLst>
        </xdr:cNvPr>
        <xdr:cNvSpPr/>
      </xdr:nvSpPr>
      <xdr:spPr>
        <a:xfrm>
          <a:off x="11149544" y="74083"/>
          <a:ext cx="2127248" cy="751416"/>
        </a:xfrm>
        <a:prstGeom prst="roundRect">
          <a:avLst>
            <a:gd name="adj" fmla="val 13850"/>
          </a:avLst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8100000" sx="102000" sy="102000" algn="tr" rotWithShape="0">
            <a:schemeClr val="bg1">
              <a:alpha val="5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>
            <a:ln>
              <a:noFill/>
            </a:ln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14</xdr:col>
      <xdr:colOff>539752</xdr:colOff>
      <xdr:row>0</xdr:row>
      <xdr:rowOff>74083</xdr:rowOff>
    </xdr:from>
    <xdr:to>
      <xdr:col>16</xdr:col>
      <xdr:colOff>793750</xdr:colOff>
      <xdr:row>5</xdr:row>
      <xdr:rowOff>52916</xdr:rowOff>
    </xdr:to>
    <xdr:sp macro="" textlink="">
      <xdr:nvSpPr>
        <xdr:cNvPr id="29" name="Retângulo: Cantos Arredondados 28">
          <a:extLst>
            <a:ext uri="{FF2B5EF4-FFF2-40B4-BE49-F238E27FC236}">
              <a16:creationId xmlns:a16="http://schemas.microsoft.com/office/drawing/2014/main" id="{E5158469-901C-4B3F-ACA3-52C1B629BC84}"/>
            </a:ext>
          </a:extLst>
        </xdr:cNvPr>
        <xdr:cNvSpPr/>
      </xdr:nvSpPr>
      <xdr:spPr>
        <a:xfrm>
          <a:off x="13864169" y="74083"/>
          <a:ext cx="2127248" cy="751416"/>
        </a:xfrm>
        <a:prstGeom prst="roundRect">
          <a:avLst>
            <a:gd name="adj" fmla="val 13850"/>
          </a:avLst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8100000" sx="102000" sy="102000" algn="tr" rotWithShape="0">
            <a:schemeClr val="bg1">
              <a:alpha val="5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>
            <a:ln>
              <a:noFill/>
            </a:ln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17</xdr:col>
      <xdr:colOff>132294</xdr:colOff>
      <xdr:row>0</xdr:row>
      <xdr:rowOff>74083</xdr:rowOff>
    </xdr:from>
    <xdr:to>
      <xdr:col>19</xdr:col>
      <xdr:colOff>47625</xdr:colOff>
      <xdr:row>5</xdr:row>
      <xdr:rowOff>52916</xdr:rowOff>
    </xdr:to>
    <xdr:sp macro="" textlink="">
      <xdr:nvSpPr>
        <xdr:cNvPr id="30" name="Retângulo: Cantos Arredondados 29">
          <a:extLst>
            <a:ext uri="{FF2B5EF4-FFF2-40B4-BE49-F238E27FC236}">
              <a16:creationId xmlns:a16="http://schemas.microsoft.com/office/drawing/2014/main" id="{8F37C8C1-17A8-4F71-9547-F5F2E62D3F48}"/>
            </a:ext>
          </a:extLst>
        </xdr:cNvPr>
        <xdr:cNvSpPr/>
      </xdr:nvSpPr>
      <xdr:spPr>
        <a:xfrm>
          <a:off x="16578794" y="74083"/>
          <a:ext cx="2127248" cy="751416"/>
        </a:xfrm>
        <a:prstGeom prst="roundRect">
          <a:avLst>
            <a:gd name="adj" fmla="val 13850"/>
          </a:avLst>
        </a:prstGeom>
        <a:gradFill flip="none" rotWithShape="1">
          <a:gsLst>
            <a:gs pos="0">
              <a:schemeClr val="accent3">
                <a:lumMod val="67000"/>
              </a:schemeClr>
            </a:gs>
            <a:gs pos="48000">
              <a:schemeClr val="accent3">
                <a:lumMod val="97000"/>
                <a:lumOff val="3000"/>
              </a:schemeClr>
            </a:gs>
            <a:gs pos="100000">
              <a:schemeClr val="accent3">
                <a:lumMod val="60000"/>
                <a:lumOff val="40000"/>
              </a:schemeClr>
            </a:gs>
          </a:gsLst>
          <a:lin ang="16200000" scaled="1"/>
          <a:tileRect/>
        </a:gradFill>
        <a:ln>
          <a:noFill/>
        </a:ln>
        <a:effectLst>
          <a:outerShdw blurRad="50800" dist="38100" dir="8100000" sx="102000" sy="102000" algn="tr" rotWithShape="0">
            <a:schemeClr val="bg1">
              <a:alpha val="58000"/>
            </a:schemeClr>
          </a:outerShdw>
        </a:effectLst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600">
            <a:ln>
              <a:noFill/>
            </a:ln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7</xdr:col>
      <xdr:colOff>322793</xdr:colOff>
      <xdr:row>0</xdr:row>
      <xdr:rowOff>63500</xdr:rowOff>
    </xdr:from>
    <xdr:to>
      <xdr:col>8</xdr:col>
      <xdr:colOff>84667</xdr:colOff>
      <xdr:row>2</xdr:row>
      <xdr:rowOff>42334</xdr:rowOff>
    </xdr:to>
    <xdr:sp macro="" textlink="">
      <xdr:nvSpPr>
        <xdr:cNvPr id="35" name="CaixaDeTexto 34">
          <a:extLst>
            <a:ext uri="{FF2B5EF4-FFF2-40B4-BE49-F238E27FC236}">
              <a16:creationId xmlns:a16="http://schemas.microsoft.com/office/drawing/2014/main" id="{35832AA0-C313-43FD-AF43-4B7CCA266C17}"/>
            </a:ext>
          </a:extLst>
        </xdr:cNvPr>
        <xdr:cNvSpPr txBox="1"/>
      </xdr:nvSpPr>
      <xdr:spPr>
        <a:xfrm>
          <a:off x="6408210" y="63500"/>
          <a:ext cx="883707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bg1"/>
              </a:solidFill>
              <a:latin typeface="MonSTERRAT"/>
              <a:ea typeface="+mn-ea"/>
              <a:cs typeface="+mn-cs"/>
            </a:rPr>
            <a:t>Imposto</a:t>
          </a:r>
          <a:endParaRPr lang="pt-BR" sz="1300" b="1">
            <a:solidFill>
              <a:schemeClr val="bg1"/>
            </a:solidFill>
            <a:latin typeface="MonSTERRAT"/>
          </a:endParaRPr>
        </a:p>
        <a:p>
          <a:endParaRPr lang="pt-BR" sz="1100"/>
        </a:p>
      </xdr:txBody>
    </xdr:sp>
    <xdr:clientData/>
  </xdr:twoCellAnchor>
  <xdr:twoCellAnchor>
    <xdr:from>
      <xdr:col>9</xdr:col>
      <xdr:colOff>497419</xdr:colOff>
      <xdr:row>0</xdr:row>
      <xdr:rowOff>74083</xdr:rowOff>
    </xdr:from>
    <xdr:to>
      <xdr:col>10</xdr:col>
      <xdr:colOff>867836</xdr:colOff>
      <xdr:row>2</xdr:row>
      <xdr:rowOff>52917</xdr:rowOff>
    </xdr:to>
    <xdr:sp macro="" textlink="">
      <xdr:nvSpPr>
        <xdr:cNvPr id="36" name="CaixaDeTexto 35">
          <a:extLst>
            <a:ext uri="{FF2B5EF4-FFF2-40B4-BE49-F238E27FC236}">
              <a16:creationId xmlns:a16="http://schemas.microsoft.com/office/drawing/2014/main" id="{36B9B64F-79AF-4583-B4AD-C9F20B3AFB57}"/>
            </a:ext>
          </a:extLst>
        </xdr:cNvPr>
        <xdr:cNvSpPr txBox="1"/>
      </xdr:nvSpPr>
      <xdr:spPr>
        <a:xfrm>
          <a:off x="8921752" y="74083"/>
          <a:ext cx="1375834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bg1"/>
              </a:solidFill>
              <a:latin typeface="MonSTERRAT"/>
              <a:ea typeface="+mn-ea"/>
              <a:cs typeface="+mn-cs"/>
            </a:rPr>
            <a:t>Receita</a:t>
          </a:r>
          <a:r>
            <a:rPr lang="pt-BR" sz="1300" b="1">
              <a:solidFill>
                <a:schemeClr val="bg1"/>
              </a:solidFill>
              <a:latin typeface="MonSTERRAT"/>
            </a:rPr>
            <a:t> Liquida</a:t>
          </a:r>
        </a:p>
        <a:p>
          <a:endParaRPr lang="pt-BR" sz="1100"/>
        </a:p>
      </xdr:txBody>
    </xdr:sp>
    <xdr:clientData/>
  </xdr:twoCellAnchor>
  <xdr:twoCellAnchor>
    <xdr:from>
      <xdr:col>12</xdr:col>
      <xdr:colOff>280461</xdr:colOff>
      <xdr:row>0</xdr:row>
      <xdr:rowOff>63499</xdr:rowOff>
    </xdr:from>
    <xdr:to>
      <xdr:col>13</xdr:col>
      <xdr:colOff>724962</xdr:colOff>
      <xdr:row>2</xdr:row>
      <xdr:rowOff>42333</xdr:rowOff>
    </xdr:to>
    <xdr:sp macro="" textlink="">
      <xdr:nvSpPr>
        <xdr:cNvPr id="37" name="CaixaDeTexto 36">
          <a:extLst>
            <a:ext uri="{FF2B5EF4-FFF2-40B4-BE49-F238E27FC236}">
              <a16:creationId xmlns:a16="http://schemas.microsoft.com/office/drawing/2014/main" id="{03FEECE4-F742-4416-9AFF-53A8ECEDEB4C}"/>
            </a:ext>
          </a:extLst>
        </xdr:cNvPr>
        <xdr:cNvSpPr txBox="1"/>
      </xdr:nvSpPr>
      <xdr:spPr>
        <a:xfrm>
          <a:off x="11678711" y="63499"/>
          <a:ext cx="1375834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>
              <a:solidFill>
                <a:schemeClr val="bg1"/>
              </a:solidFill>
              <a:latin typeface="MonSTERRAT"/>
              <a:ea typeface="+mn-ea"/>
              <a:cs typeface="+mn-cs"/>
            </a:rPr>
            <a:t>Custo</a:t>
          </a:r>
          <a:r>
            <a:rPr lang="pt-BR" sz="1300" b="1" baseline="0">
              <a:solidFill>
                <a:schemeClr val="bg1"/>
              </a:solidFill>
              <a:latin typeface="MonSTERRAT"/>
              <a:ea typeface="+mn-ea"/>
              <a:cs typeface="+mn-cs"/>
            </a:rPr>
            <a:t> Pedagio</a:t>
          </a:r>
          <a:endParaRPr lang="pt-BR" sz="1300" b="1">
            <a:solidFill>
              <a:schemeClr val="bg1"/>
            </a:solidFill>
            <a:latin typeface="MonSTERRAT"/>
          </a:endParaRPr>
        </a:p>
        <a:p>
          <a:endParaRPr lang="pt-BR" sz="1100"/>
        </a:p>
      </xdr:txBody>
    </xdr:sp>
    <xdr:clientData/>
  </xdr:twoCellAnchor>
  <xdr:twoCellAnchor>
    <xdr:from>
      <xdr:col>14</xdr:col>
      <xdr:colOff>560916</xdr:colOff>
      <xdr:row>0</xdr:row>
      <xdr:rowOff>63499</xdr:rowOff>
    </xdr:from>
    <xdr:to>
      <xdr:col>16</xdr:col>
      <xdr:colOff>698499</xdr:colOff>
      <xdr:row>2</xdr:row>
      <xdr:rowOff>42333</xdr:rowOff>
    </xdr:to>
    <xdr:sp macro="" textlink="">
      <xdr:nvSpPr>
        <xdr:cNvPr id="38" name="CaixaDeTexto 37">
          <a:extLst>
            <a:ext uri="{FF2B5EF4-FFF2-40B4-BE49-F238E27FC236}">
              <a16:creationId xmlns:a16="http://schemas.microsoft.com/office/drawing/2014/main" id="{884C65A7-AD5A-4F7C-8A79-BA03A3B63B89}"/>
            </a:ext>
          </a:extLst>
        </xdr:cNvPr>
        <xdr:cNvSpPr txBox="1"/>
      </xdr:nvSpPr>
      <xdr:spPr>
        <a:xfrm>
          <a:off x="13885333" y="63499"/>
          <a:ext cx="1915583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r>
            <a:rPr lang="pt-BR" sz="1300" b="1">
              <a:solidFill>
                <a:schemeClr val="bg1"/>
              </a:solidFill>
              <a:latin typeface="MonSTERRAT"/>
              <a:ea typeface="+mn-ea"/>
              <a:cs typeface="+mn-cs"/>
            </a:rPr>
            <a:t>Officina</a:t>
          </a:r>
          <a:r>
            <a:rPr lang="pt-BR" sz="1300" b="1" baseline="0">
              <a:solidFill>
                <a:schemeClr val="bg1"/>
              </a:solidFill>
              <a:latin typeface="MonSTERRAT"/>
              <a:ea typeface="+mn-ea"/>
              <a:cs typeface="+mn-cs"/>
            </a:rPr>
            <a:t> </a:t>
          </a:r>
          <a:r>
            <a:rPr lang="pt-BR" sz="1300" b="1">
              <a:solidFill>
                <a:schemeClr val="bg1"/>
              </a:solidFill>
              <a:latin typeface="MonSTERRAT"/>
              <a:ea typeface="+mn-ea"/>
              <a:cs typeface="+mn-cs"/>
            </a:rPr>
            <a:t> Propria</a:t>
          </a:r>
        </a:p>
        <a:p>
          <a:pPr algn="ctr"/>
          <a:endParaRPr lang="pt-BR" sz="1100"/>
        </a:p>
      </xdr:txBody>
    </xdr:sp>
    <xdr:clientData/>
  </xdr:twoCellAnchor>
  <xdr:twoCellAnchor>
    <xdr:from>
      <xdr:col>17</xdr:col>
      <xdr:colOff>486834</xdr:colOff>
      <xdr:row>0</xdr:row>
      <xdr:rowOff>74083</xdr:rowOff>
    </xdr:from>
    <xdr:to>
      <xdr:col>18</xdr:col>
      <xdr:colOff>952501</xdr:colOff>
      <xdr:row>2</xdr:row>
      <xdr:rowOff>52917</xdr:rowOff>
    </xdr:to>
    <xdr:sp macro="" textlink="">
      <xdr:nvSpPr>
        <xdr:cNvPr id="39" name="CaixaDeTexto 38">
          <a:extLst>
            <a:ext uri="{FF2B5EF4-FFF2-40B4-BE49-F238E27FC236}">
              <a16:creationId xmlns:a16="http://schemas.microsoft.com/office/drawing/2014/main" id="{38AC5582-FE56-4A02-9913-8EAD4C680D8D}"/>
            </a:ext>
          </a:extLst>
        </xdr:cNvPr>
        <xdr:cNvSpPr txBox="1"/>
      </xdr:nvSpPr>
      <xdr:spPr>
        <a:xfrm>
          <a:off x="16838084" y="74083"/>
          <a:ext cx="1629834" cy="275167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pt-BR" sz="1300" b="1" baseline="0">
              <a:solidFill>
                <a:schemeClr val="bg1"/>
              </a:solidFill>
              <a:latin typeface="MonSTERRAT"/>
              <a:ea typeface="+mn-ea"/>
              <a:cs typeface="+mn-cs"/>
            </a:rPr>
            <a:t> Custo Total Diesel  </a:t>
          </a:r>
          <a:endParaRPr lang="pt-BR" sz="1300" b="1">
            <a:solidFill>
              <a:schemeClr val="bg1"/>
            </a:solidFill>
            <a:latin typeface="MonSTERRAT"/>
          </a:endParaRPr>
        </a:p>
        <a:p>
          <a:endParaRPr lang="pt-BR" sz="1100"/>
        </a:p>
      </xdr:txBody>
    </xdr:sp>
    <xdr:clientData/>
  </xdr:twoCellAnchor>
  <xdr:twoCellAnchor editAs="oneCell">
    <xdr:from>
      <xdr:col>6</xdr:col>
      <xdr:colOff>645583</xdr:colOff>
      <xdr:row>2</xdr:row>
      <xdr:rowOff>0</xdr:rowOff>
    </xdr:from>
    <xdr:to>
      <xdr:col>7</xdr:col>
      <xdr:colOff>56893</xdr:colOff>
      <xdr:row>4</xdr:row>
      <xdr:rowOff>59856</xdr:rowOff>
    </xdr:to>
    <xdr:pic>
      <xdr:nvPicPr>
        <xdr:cNvPr id="7" name="Gráfico 6" descr="Imposto com preenchimento sólido">
          <a:extLst>
            <a:ext uri="{FF2B5EF4-FFF2-40B4-BE49-F238E27FC236}">
              <a16:creationId xmlns:a16="http://schemas.microsoft.com/office/drawing/2014/main" id="{00351390-6A0D-1033-6B4F-5E85FAA3FB6B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>
          <a:extLst>
            <a:ext uri="{96DAC541-7B7A-43D3-8B79-37D633B846F1}">
              <asvg:svgBlip xmlns:asvg="http://schemas.microsoft.com/office/drawing/2016/SVG/main" r:embed="rId4"/>
            </a:ext>
          </a:extLst>
        </a:blip>
        <a:stretch>
          <a:fillRect/>
        </a:stretch>
      </xdr:blipFill>
      <xdr:spPr>
        <a:xfrm>
          <a:off x="5778500" y="296333"/>
          <a:ext cx="360000" cy="360000"/>
        </a:xfrm>
        <a:prstGeom prst="rect">
          <a:avLst/>
        </a:prstGeom>
      </xdr:spPr>
    </xdr:pic>
    <xdr:clientData/>
  </xdr:twoCellAnchor>
  <xdr:twoCellAnchor>
    <xdr:from>
      <xdr:col>6</xdr:col>
      <xdr:colOff>873128</xdr:colOff>
      <xdr:row>3</xdr:row>
      <xdr:rowOff>10583</xdr:rowOff>
    </xdr:from>
    <xdr:to>
      <xdr:col>8</xdr:col>
      <xdr:colOff>407464</xdr:colOff>
      <xdr:row>4</xdr:row>
      <xdr:rowOff>158751</xdr:rowOff>
    </xdr:to>
    <xdr:sp macro="" textlink="$H$8">
      <xdr:nvSpPr>
        <xdr:cNvPr id="8" name="CaixaDeTexto 7">
          <a:extLst>
            <a:ext uri="{FF2B5EF4-FFF2-40B4-BE49-F238E27FC236}">
              <a16:creationId xmlns:a16="http://schemas.microsoft.com/office/drawing/2014/main" id="{1DCF2AF7-84AA-48F7-8A1C-4EE80511EADC}"/>
            </a:ext>
          </a:extLst>
        </xdr:cNvPr>
        <xdr:cNvSpPr txBox="1"/>
      </xdr:nvSpPr>
      <xdr:spPr>
        <a:xfrm>
          <a:off x="6006045" y="455083"/>
          <a:ext cx="1608669" cy="296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E8B304EF-9652-47A2-915E-A29EBD321308}" type="TxLink">
            <a:rPr lang="en-US" sz="1200" b="0" i="0" u="none" strike="noStrike">
              <a:solidFill>
                <a:schemeClr val="bg1"/>
              </a:solidFill>
              <a:latin typeface="MonSTERRAT"/>
            </a:rPr>
            <a:pPr algn="ctr"/>
            <a:t>R$ 55.133,98</a:t>
          </a:fld>
          <a:endParaRPr lang="pt-BR" sz="1200" b="0">
            <a:solidFill>
              <a:schemeClr val="bg1"/>
            </a:solidFill>
            <a:latin typeface="MonSTERRAT"/>
          </a:endParaRPr>
        </a:p>
      </xdr:txBody>
    </xdr:sp>
    <xdr:clientData/>
  </xdr:twoCellAnchor>
  <xdr:twoCellAnchor>
    <xdr:from>
      <xdr:col>9</xdr:col>
      <xdr:colOff>407462</xdr:colOff>
      <xdr:row>3</xdr:row>
      <xdr:rowOff>10583</xdr:rowOff>
    </xdr:from>
    <xdr:to>
      <xdr:col>10</xdr:col>
      <xdr:colOff>1010714</xdr:colOff>
      <xdr:row>4</xdr:row>
      <xdr:rowOff>158751</xdr:rowOff>
    </xdr:to>
    <xdr:sp macro="" textlink="$I$8">
      <xdr:nvSpPr>
        <xdr:cNvPr id="10" name="CaixaDeTexto 9">
          <a:extLst>
            <a:ext uri="{FF2B5EF4-FFF2-40B4-BE49-F238E27FC236}">
              <a16:creationId xmlns:a16="http://schemas.microsoft.com/office/drawing/2014/main" id="{64F7E284-0F45-E78D-05A9-8C1BC2605B30}"/>
            </a:ext>
          </a:extLst>
        </xdr:cNvPr>
        <xdr:cNvSpPr txBox="1"/>
      </xdr:nvSpPr>
      <xdr:spPr>
        <a:xfrm>
          <a:off x="8831795" y="455083"/>
          <a:ext cx="1608669" cy="296335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algn="ctr"/>
          <a:fld id="{09E54B5C-E583-4101-869D-6037AB00C35F}" type="TxLink">
            <a:rPr lang="en-US" sz="1200" b="0" i="0" u="none" strike="noStrike">
              <a:solidFill>
                <a:schemeClr val="bg1"/>
              </a:solidFill>
              <a:latin typeface="MonSTERRAT"/>
            </a:rPr>
            <a:pPr algn="ctr"/>
            <a:t>R$ 448.372,70</a:t>
          </a:fld>
          <a:endParaRPr lang="pt-BR" sz="1200" b="0">
            <a:solidFill>
              <a:schemeClr val="bg1"/>
            </a:solidFill>
            <a:latin typeface="MonSTERRAT"/>
          </a:endParaRPr>
        </a:p>
      </xdr:txBody>
    </xdr:sp>
    <xdr:clientData/>
  </xdr:twoCellAnchor>
  <xdr:twoCellAnchor editAs="oneCell">
    <xdr:from>
      <xdr:col>9</xdr:col>
      <xdr:colOff>84666</xdr:colOff>
      <xdr:row>2</xdr:row>
      <xdr:rowOff>21166</xdr:rowOff>
    </xdr:from>
    <xdr:to>
      <xdr:col>9</xdr:col>
      <xdr:colOff>440856</xdr:colOff>
      <xdr:row>4</xdr:row>
      <xdr:rowOff>92452</xdr:rowOff>
    </xdr:to>
    <xdr:pic>
      <xdr:nvPicPr>
        <xdr:cNvPr id="13" name="Gráfico 12" descr="Baú de tesouro com preenchimento sólido">
          <a:extLst>
            <a:ext uri="{FF2B5EF4-FFF2-40B4-BE49-F238E27FC236}">
              <a16:creationId xmlns:a16="http://schemas.microsoft.com/office/drawing/2014/main" id="{3968BD06-F5B4-2C68-7899-BE2A3C31E71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>
          <a:extLst>
            <a:ext uri="{96DAC541-7B7A-43D3-8B79-37D633B846F1}">
              <asvg:svgBlip xmlns:asvg="http://schemas.microsoft.com/office/drawing/2016/SVG/main" r:embed="rId6"/>
            </a:ext>
          </a:extLst>
        </a:blip>
        <a:stretch>
          <a:fillRect/>
        </a:stretch>
      </xdr:blipFill>
      <xdr:spPr>
        <a:xfrm>
          <a:off x="8508999" y="317499"/>
          <a:ext cx="360000" cy="360000"/>
        </a:xfrm>
        <a:prstGeom prst="rect">
          <a:avLst/>
        </a:prstGeom>
      </xdr:spPr>
    </xdr:pic>
    <xdr:clientData/>
  </xdr:twoCellAnchor>
  <xdr:twoCellAnchor>
    <xdr:from>
      <xdr:col>12</xdr:col>
      <xdr:colOff>195794</xdr:colOff>
      <xdr:row>3</xdr:row>
      <xdr:rowOff>10585</xdr:rowOff>
    </xdr:from>
    <xdr:to>
      <xdr:col>13</xdr:col>
      <xdr:colOff>508001</xdr:colOff>
      <xdr:row>4</xdr:row>
      <xdr:rowOff>169336</xdr:rowOff>
    </xdr:to>
    <xdr:sp macro="" textlink="$X$7">
      <xdr:nvSpPr>
        <xdr:cNvPr id="14" name="CaixaDeTexto 13">
          <a:extLst>
            <a:ext uri="{FF2B5EF4-FFF2-40B4-BE49-F238E27FC236}">
              <a16:creationId xmlns:a16="http://schemas.microsoft.com/office/drawing/2014/main" id="{47D5722A-B490-436A-AE11-E52AA842AC4B}"/>
            </a:ext>
          </a:extLst>
        </xdr:cNvPr>
        <xdr:cNvSpPr txBox="1"/>
      </xdr:nvSpPr>
      <xdr:spPr>
        <a:xfrm>
          <a:off x="11594044" y="455085"/>
          <a:ext cx="1243540" cy="306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52A61866-EC0F-4DB5-AECD-3E7522D56232}" type="TxLink">
            <a:rPr lang="en-US" sz="1200" b="0" i="0" u="none" strike="noStrike">
              <a:solidFill>
                <a:schemeClr val="bg1"/>
              </a:solidFill>
              <a:latin typeface="MonSTERRAT"/>
              <a:ea typeface="+mn-ea"/>
              <a:cs typeface="+mn-cs"/>
            </a:rPr>
            <a:pPr marL="0" indent="0" algn="ctr"/>
            <a:t>R$ 40.263,80</a:t>
          </a:fld>
          <a:endParaRPr lang="pt-BR" sz="1200" b="0" i="0" u="none" strike="noStrike">
            <a:solidFill>
              <a:schemeClr val="bg1"/>
            </a:solidFill>
            <a:latin typeface="MonSTERRAT"/>
            <a:ea typeface="+mn-ea"/>
            <a:cs typeface="+mn-cs"/>
          </a:endParaRPr>
        </a:p>
      </xdr:txBody>
    </xdr:sp>
    <xdr:clientData/>
  </xdr:twoCellAnchor>
  <xdr:twoCellAnchor>
    <xdr:from>
      <xdr:col>15</xdr:col>
      <xdr:colOff>42335</xdr:colOff>
      <xdr:row>3</xdr:row>
      <xdr:rowOff>42333</xdr:rowOff>
    </xdr:from>
    <xdr:to>
      <xdr:col>16</xdr:col>
      <xdr:colOff>603248</xdr:colOff>
      <xdr:row>5</xdr:row>
      <xdr:rowOff>21168</xdr:rowOff>
    </xdr:to>
    <xdr:sp macro="" textlink="$S$7">
      <xdr:nvSpPr>
        <xdr:cNvPr id="15" name="CaixaDeTexto 14">
          <a:extLst>
            <a:ext uri="{FF2B5EF4-FFF2-40B4-BE49-F238E27FC236}">
              <a16:creationId xmlns:a16="http://schemas.microsoft.com/office/drawing/2014/main" id="{D9BD0113-7908-4E99-971C-B4A9DFA7AD5C}"/>
            </a:ext>
          </a:extLst>
        </xdr:cNvPr>
        <xdr:cNvSpPr txBox="1"/>
      </xdr:nvSpPr>
      <xdr:spPr>
        <a:xfrm>
          <a:off x="14340418" y="486833"/>
          <a:ext cx="1365247" cy="306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06FA1A37-0098-436E-B568-BD66BA7BE8AB}" type="TxLink">
            <a:rPr lang="en-US" sz="1200" b="0" i="0" u="none" strike="noStrike">
              <a:solidFill>
                <a:schemeClr val="bg1"/>
              </a:solidFill>
              <a:latin typeface="MonSTERRAT"/>
              <a:ea typeface="+mn-ea"/>
              <a:cs typeface="+mn-cs"/>
            </a:rPr>
            <a:pPr marL="0" indent="0" algn="ctr"/>
            <a:t>R$ 19.895,15</a:t>
          </a:fld>
          <a:endParaRPr lang="pt-BR" sz="1200" b="0" i="0" u="none" strike="noStrike">
            <a:solidFill>
              <a:schemeClr val="bg1"/>
            </a:solidFill>
            <a:latin typeface="MonSTERRAT"/>
            <a:ea typeface="+mn-ea"/>
            <a:cs typeface="+mn-cs"/>
          </a:endParaRPr>
        </a:p>
      </xdr:txBody>
    </xdr:sp>
    <xdr:clientData/>
  </xdr:twoCellAnchor>
  <xdr:twoCellAnchor editAs="oneCell">
    <xdr:from>
      <xdr:col>11</xdr:col>
      <xdr:colOff>761999</xdr:colOff>
      <xdr:row>2</xdr:row>
      <xdr:rowOff>31750</xdr:rowOff>
    </xdr:from>
    <xdr:to>
      <xdr:col>12</xdr:col>
      <xdr:colOff>190666</xdr:colOff>
      <xdr:row>4</xdr:row>
      <xdr:rowOff>91606</xdr:rowOff>
    </xdr:to>
    <xdr:pic>
      <xdr:nvPicPr>
        <xdr:cNvPr id="17" name="Gráfico 16" descr="Estrada escorregadia com preenchimento sólido">
          <a:extLst>
            <a:ext uri="{FF2B5EF4-FFF2-40B4-BE49-F238E27FC236}">
              <a16:creationId xmlns:a16="http://schemas.microsoft.com/office/drawing/2014/main" id="{A8297D62-9953-41BD-F934-5145C1E4CD2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>
          <a:extLst>
            <a:ext uri="{96DAC541-7B7A-43D3-8B79-37D633B846F1}">
              <asvg:svgBlip xmlns:asvg="http://schemas.microsoft.com/office/drawing/2016/SVG/main" r:embed="rId8"/>
            </a:ext>
          </a:extLst>
        </a:blip>
        <a:stretch>
          <a:fillRect/>
        </a:stretch>
      </xdr:blipFill>
      <xdr:spPr>
        <a:xfrm>
          <a:off x="11228916" y="328083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14</xdr:col>
      <xdr:colOff>645583</xdr:colOff>
      <xdr:row>2</xdr:row>
      <xdr:rowOff>74083</xdr:rowOff>
    </xdr:from>
    <xdr:to>
      <xdr:col>15</xdr:col>
      <xdr:colOff>18582</xdr:colOff>
      <xdr:row>4</xdr:row>
      <xdr:rowOff>133939</xdr:rowOff>
    </xdr:to>
    <xdr:pic>
      <xdr:nvPicPr>
        <xdr:cNvPr id="19" name="Gráfico 18" descr="Caminhão de lixo com preenchimento sólido">
          <a:extLst>
            <a:ext uri="{FF2B5EF4-FFF2-40B4-BE49-F238E27FC236}">
              <a16:creationId xmlns:a16="http://schemas.microsoft.com/office/drawing/2014/main" id="{E4421102-9B61-1AD0-ADA5-7A695F08DD2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>
          <a:extLst>
            <a:ext uri="{96DAC541-7B7A-43D3-8B79-37D633B846F1}">
              <asvg:svgBlip xmlns:asvg="http://schemas.microsoft.com/office/drawing/2016/SVG/main" r:embed="rId10"/>
            </a:ext>
          </a:extLst>
        </a:blip>
        <a:stretch>
          <a:fillRect/>
        </a:stretch>
      </xdr:blipFill>
      <xdr:spPr>
        <a:xfrm>
          <a:off x="13970000" y="370416"/>
          <a:ext cx="360000" cy="360000"/>
        </a:xfrm>
        <a:prstGeom prst="rect">
          <a:avLst/>
        </a:prstGeom>
      </xdr:spPr>
    </xdr:pic>
    <xdr:clientData/>
  </xdr:twoCellAnchor>
  <xdr:twoCellAnchor editAs="oneCell">
    <xdr:from>
      <xdr:col>17</xdr:col>
      <xdr:colOff>179916</xdr:colOff>
      <xdr:row>2</xdr:row>
      <xdr:rowOff>52917</xdr:rowOff>
    </xdr:from>
    <xdr:to>
      <xdr:col>17</xdr:col>
      <xdr:colOff>553251</xdr:colOff>
      <xdr:row>4</xdr:row>
      <xdr:rowOff>116583</xdr:rowOff>
    </xdr:to>
    <xdr:pic>
      <xdr:nvPicPr>
        <xdr:cNvPr id="23" name="Gráfico 22" descr="Filantropia com preenchimento sólido">
          <a:extLst>
            <a:ext uri="{FF2B5EF4-FFF2-40B4-BE49-F238E27FC236}">
              <a16:creationId xmlns:a16="http://schemas.microsoft.com/office/drawing/2014/main" id="{DBEE9629-D5EA-800F-1CFB-496F06188D2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>
          <a:extLst>
            <a:ext uri="{96DAC541-7B7A-43D3-8B79-37D633B846F1}">
              <asvg:svgBlip xmlns:asvg="http://schemas.microsoft.com/office/drawing/2016/SVG/main" r:embed="rId12"/>
            </a:ext>
          </a:extLst>
        </a:blip>
        <a:stretch>
          <a:fillRect/>
        </a:stretch>
      </xdr:blipFill>
      <xdr:spPr>
        <a:xfrm>
          <a:off x="16626416" y="349250"/>
          <a:ext cx="360000" cy="360000"/>
        </a:xfrm>
        <a:prstGeom prst="rect">
          <a:avLst/>
        </a:prstGeom>
      </xdr:spPr>
    </xdr:pic>
    <xdr:clientData/>
  </xdr:twoCellAnchor>
  <xdr:twoCellAnchor>
    <xdr:from>
      <xdr:col>17</xdr:col>
      <xdr:colOff>661460</xdr:colOff>
      <xdr:row>3</xdr:row>
      <xdr:rowOff>10583</xdr:rowOff>
    </xdr:from>
    <xdr:to>
      <xdr:col>18</xdr:col>
      <xdr:colOff>836083</xdr:colOff>
      <xdr:row>4</xdr:row>
      <xdr:rowOff>169334</xdr:rowOff>
    </xdr:to>
    <xdr:sp macro="" textlink="$O$7">
      <xdr:nvSpPr>
        <xdr:cNvPr id="24" name="CaixaDeTexto 23">
          <a:extLst>
            <a:ext uri="{FF2B5EF4-FFF2-40B4-BE49-F238E27FC236}">
              <a16:creationId xmlns:a16="http://schemas.microsoft.com/office/drawing/2014/main" id="{2D3479E8-C033-444F-A8C9-69074B8D2246}"/>
            </a:ext>
          </a:extLst>
        </xdr:cNvPr>
        <xdr:cNvSpPr txBox="1"/>
      </xdr:nvSpPr>
      <xdr:spPr>
        <a:xfrm>
          <a:off x="17107960" y="455083"/>
          <a:ext cx="1338790" cy="306918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pPr marL="0" indent="0" algn="ctr"/>
          <a:fld id="{89214569-16B4-45A5-BF82-C78276878813}" type="TxLink">
            <a:rPr lang="en-US" sz="1200" b="0" i="0" u="none" strike="noStrike">
              <a:solidFill>
                <a:schemeClr val="bg1"/>
              </a:solidFill>
              <a:latin typeface="MonSTERRAT"/>
              <a:ea typeface="+mn-ea"/>
              <a:cs typeface="+mn-cs"/>
            </a:rPr>
            <a:pPr marL="0" indent="0" algn="ctr"/>
            <a:t>R$ 445.017,27</a:t>
          </a:fld>
          <a:endParaRPr lang="pt-BR" sz="1200" b="0" i="0" u="none" strike="noStrike">
            <a:solidFill>
              <a:schemeClr val="bg1"/>
            </a:solidFill>
            <a:latin typeface="MonSTERRAT"/>
            <a:ea typeface="+mn-ea"/>
            <a:cs typeface="+mn-cs"/>
          </a:endParaRPr>
        </a:p>
      </xdr:txBody>
    </xdr:sp>
    <xdr:clientData/>
  </xdr:twoCellAnchor>
  <xdr:twoCellAnchor>
    <xdr:from>
      <xdr:col>45</xdr:col>
      <xdr:colOff>317498</xdr:colOff>
      <xdr:row>15</xdr:row>
      <xdr:rowOff>179917</xdr:rowOff>
    </xdr:from>
    <xdr:to>
      <xdr:col>56</xdr:col>
      <xdr:colOff>592665</xdr:colOff>
      <xdr:row>26</xdr:row>
      <xdr:rowOff>63500</xdr:rowOff>
    </xdr:to>
    <xdr:graphicFrame macro="">
      <xdr:nvGraphicFramePr>
        <xdr:cNvPr id="45" name="Gráfico 44">
          <a:extLst>
            <a:ext uri="{FF2B5EF4-FFF2-40B4-BE49-F238E27FC236}">
              <a16:creationId xmlns:a16="http://schemas.microsoft.com/office/drawing/2014/main" id="{2F171D66-2A56-0B76-C4FD-DAED2CABCFA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19</xdr:col>
      <xdr:colOff>254000</xdr:colOff>
      <xdr:row>0</xdr:row>
      <xdr:rowOff>0</xdr:rowOff>
    </xdr:from>
    <xdr:to>
      <xdr:col>27</xdr:col>
      <xdr:colOff>146262</xdr:colOff>
      <xdr:row>6</xdr:row>
      <xdr:rowOff>116417</xdr:rowOff>
    </xdr:to>
    <xdr:graphicFrame macro="">
      <xdr:nvGraphicFramePr>
        <xdr:cNvPr id="46" name="Gráfico 45">
          <a:extLst>
            <a:ext uri="{FF2B5EF4-FFF2-40B4-BE49-F238E27FC236}">
              <a16:creationId xmlns:a16="http://schemas.microsoft.com/office/drawing/2014/main" id="{39132672-CA5B-4B1C-9926-012D9056F2E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 editAs="oneCell">
    <xdr:from>
      <xdr:col>1</xdr:col>
      <xdr:colOff>137583</xdr:colOff>
      <xdr:row>2</xdr:row>
      <xdr:rowOff>91439</xdr:rowOff>
    </xdr:from>
    <xdr:to>
      <xdr:col>3</xdr:col>
      <xdr:colOff>320939</xdr:colOff>
      <xdr:row>5</xdr:row>
      <xdr:rowOff>34501</xdr:rowOff>
    </xdr:to>
    <xdr:pic>
      <xdr:nvPicPr>
        <xdr:cNvPr id="3" name="Imagem 2">
          <a:extLst>
            <a:ext uri="{FF2B5EF4-FFF2-40B4-BE49-F238E27FC236}">
              <a16:creationId xmlns:a16="http://schemas.microsoft.com/office/drawing/2014/main" id="{A5514B8A-D63F-F4C2-F2EE-A046EEBCA81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137583" y="387772"/>
          <a:ext cx="2306796" cy="408729"/>
        </a:xfrm>
        <a:prstGeom prst="rect">
          <a:avLst/>
        </a:prstGeom>
      </xdr:spPr>
    </xdr:pic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Ronaldo Rodrigues Silveiro" refreshedDate="46062.577219212966" createdVersion="8" refreshedVersion="8" minRefreshableVersion="3" recordCount="131" xr:uid="{3F1D69B7-7AA7-4865-9228-0D04DD6B1AE9}">
  <cacheSource type="worksheet">
    <worksheetSource name="Tabela1"/>
  </cacheSource>
  <cacheFields count="31">
    <cacheField name="Placa" numFmtId="0">
      <sharedItems containsBlank="1" count="131">
        <s v="RUV8C67"/>
        <s v="SYU6F98"/>
        <s v="TCM3E92"/>
        <s v="TCQ9I02"/>
        <s v="RVF9G10"/>
        <s v="SYU6F25"/>
        <s v="SYX7J59"/>
        <s v="PVR7J29"/>
        <s v="TCM3E95"/>
        <s v="TCQ9I43"/>
        <s v="SYU8H40"/>
        <s v="SYW8A10"/>
        <s v="SYU8G68"/>
        <s v="TCD1H67"/>
        <s v="SYV1E00"/>
        <s v="TCQ9I05"/>
        <s v="TCR2G11"/>
        <s v="TCQ9I56"/>
        <s v="TCQ9H98"/>
        <s v="PVR7J77"/>
        <s v="TCM3F19"/>
        <s v="SYU8I34"/>
        <s v="SYU8H58"/>
        <s v="TCQ9I53"/>
        <s v="TCQ9I39"/>
        <s v="TCD5B70"/>
        <s v="TCQ9H96"/>
        <s v="SYU8H70"/>
        <s v="TCM3F15"/>
        <s v="SYY9F88"/>
        <s v="TCC6J98"/>
        <s v="TCM3F72"/>
        <s v="SYV1D92"/>
        <s v="SYU6H34"/>
        <s v="SYD6D52"/>
        <s v="SYV1D77"/>
        <s v="SYX7J60"/>
        <s v="SYY6I01"/>
        <s v="SYW8A28"/>
        <s v="SYU6F16"/>
        <s v="SYU8I68"/>
        <s v="SYU8H82"/>
        <s v="SYU8H30"/>
        <s v="SYY0I86"/>
        <s v="SYU8H50"/>
        <s v="SYW8A15"/>
        <s v="RUV8C77"/>
        <s v="SYU8H87"/>
        <s v="TCM3E98"/>
        <s v="SYU6F06"/>
        <s v="SYU6G38"/>
        <s v="SYU8H16"/>
        <s v="TCQ9I08"/>
        <s v="TCQ9I31"/>
        <s v="TCQ9I48"/>
        <s v="PVR7I41"/>
        <s v="TCC6G79"/>
        <s v="RUV8D08"/>
        <s v="RUV8D12"/>
        <s v="TCC6G67"/>
        <s v="TCC6G76"/>
        <s v="TCC7A05"/>
        <s v="RUV8C90"/>
        <s v="RVG0A74"/>
        <s v="SYI3I44"/>
        <s v="SYK1F69"/>
        <s v="SYT0G01"/>
        <s v="SYS1D93"/>
        <s v="SJD8A67"/>
        <s v="SYS1D47"/>
        <s v="SYT0F85"/>
        <s v="SYS1D84"/>
        <s v="SYT0G07"/>
        <s v="SIT4E53"/>
        <s v="SYT0F99"/>
        <s v="SJB8C72"/>
        <s v="SYT0F92"/>
        <s v="SYT0F94"/>
        <s v="SYS1D90"/>
        <s v="SJE3D93"/>
        <s v="SYS1E05"/>
        <s v="SYS1A66"/>
        <s v="SYS1D51"/>
        <s v="SYT0F98"/>
        <s v="SYT0F88"/>
        <s v="RUP4E22"/>
        <s v="RUP4F42"/>
        <s v="RUP4F47"/>
        <s v="RUI1D24"/>
        <s v="RUI1D32"/>
        <s v="RUI4A10"/>
        <s v="RUI4A50"/>
        <s v="RUI7B73"/>
        <s v="RUI7C22"/>
        <s v="RUP4F35"/>
        <s v="SIR3B41"/>
        <s v="SIT4E44"/>
        <s v="SIT4E42"/>
        <s v="SJB8D17"/>
        <s v="SJD8A74"/>
        <s v="SJD8A85"/>
        <s v="SJD8B12"/>
        <s v="RUP4E42"/>
        <s v="SJB8D22"/>
        <s v="SJB8D53"/>
        <s v="SJB8B96"/>
        <s v="RUI1D28"/>
        <s v="RUI1D23"/>
        <s v="RUI1D13"/>
        <s v="RUI1D33"/>
        <s v="RUI6A50"/>
        <s v="RUI4B63"/>
        <s v="RUI4B78"/>
        <s v="RUI6A51"/>
        <s v="RUI7C56"/>
        <s v="RUI7C54"/>
        <s v="RUI7B23"/>
        <s v="RUI7C18"/>
        <s v="RUI7C27"/>
        <s v="RUI8B28"/>
        <s v="RUI7C26"/>
        <s v="RUP4F32"/>
        <s v="RUP4F59"/>
        <s v="RUP4F50"/>
        <s v="RUP4F38"/>
        <s v="SYX7J55"/>
        <s v="SYX2J67"/>
        <s v="TCC6G75"/>
        <s v="TCC6G69"/>
        <s v="TCC6G73"/>
        <m/>
      </sharedItems>
    </cacheField>
    <cacheField name="Operação" numFmtId="0">
      <sharedItems containsBlank="1"/>
    </cacheField>
    <cacheField name="Empresa" numFmtId="0">
      <sharedItems containsBlank="1"/>
    </cacheField>
    <cacheField name="Chave  " numFmtId="0">
      <sharedItems containsMixedTypes="1" containsNumber="1" containsInteger="1" minValue="0" maxValue="0"/>
    </cacheField>
    <cacheField name="Km Rodado" numFmtId="0">
      <sharedItems containsString="0" containsBlank="1" containsNumber="1" containsInteger="1" minValue="0" maxValue="3192"/>
    </cacheField>
    <cacheField name="Receita" numFmtId="0">
      <sharedItems containsString="0" containsBlank="1" containsNumber="1" minValue="0" maxValue="18885.659999999996" count="62">
        <n v="10571.689999999999"/>
        <n v="4861.04"/>
        <n v="18885.659999999996"/>
        <n v="10569.23"/>
        <n v="15529.750000000002"/>
        <n v="18168.740000000002"/>
        <n v="10172.369999999999"/>
        <n v="5774.48"/>
        <n v="10815.109999999999"/>
        <n v="18229.099999999999"/>
        <n v="7001.8700000000008"/>
        <n v="17445.34"/>
        <n v="16206.070000000002"/>
        <n v="15356.05"/>
        <n v="2710.8700000000003"/>
        <n v="13898.500000000002"/>
        <n v="12655.95"/>
        <n v="3554.08"/>
        <n v="6554.5199999999995"/>
        <n v="1615.41"/>
        <n v="11139.830000000002"/>
        <n v="10119.950000000001"/>
        <n v="13254.520000000002"/>
        <n v="8906.880000000001"/>
        <n v="9465.6100000000024"/>
        <n v="15305.360000000004"/>
        <n v="10462.849999999999"/>
        <n v="17839.519999999997"/>
        <n v="14943.380000000001"/>
        <n v="10549.16"/>
        <n v="3464.33"/>
        <n v="1228.6800000000003"/>
        <n v="12469.350000000002"/>
        <n v="1035.93"/>
        <n v="14164.61"/>
        <n v="14706.23"/>
        <n v="572.41999999999996"/>
        <n v="571.98"/>
        <n v="5652.9299999999994"/>
        <n v="13112.039999999999"/>
        <n v="840.0200000000001"/>
        <n v="1029.06"/>
        <n v="1041.6599999999999"/>
        <n v="802.48"/>
        <n v="387.28999999999996"/>
        <n v="386.74"/>
        <n v="10137.94"/>
        <n v="14334.560000000001"/>
        <n v="612.06999999999994"/>
        <n v="624.18000000000006"/>
        <n v="195.23000000000002"/>
        <n v="10691.789999999999"/>
        <n v="10237.880000000001"/>
        <n v="0"/>
        <n v="1781.22"/>
        <n v="14466.99"/>
        <n v="16352.09"/>
        <n v="6977.920000000001"/>
        <n v="2269.59"/>
        <n v="194.93"/>
        <n v="601.65"/>
        <m/>
      </sharedItems>
    </cacheField>
    <cacheField name="Imposto" numFmtId="0">
      <sharedItems containsString="0" containsBlank="1" containsNumber="1" minValue="0" maxValue="2067.9797699999995"/>
    </cacheField>
    <cacheField name="Receita Liquida" numFmtId="0">
      <sharedItems containsString="0" containsBlank="1" containsNumber="1" minValue="0" maxValue="16817.680229999998"/>
    </cacheField>
    <cacheField name="Gasto com Pessoal" numFmtId="0">
      <sharedItems containsString="0" containsBlank="1" containsNumber="1" containsInteger="1" minValue="0" maxValue="18400"/>
    </cacheField>
    <cacheField name="Depreciação" numFmtId="164">
      <sharedItems containsString="0" containsBlank="1" containsNumber="1" containsInteger="1" minValue="7163" maxValue="7868"/>
    </cacheField>
    <cacheField name="Rastreador" numFmtId="0">
      <sharedItems containsString="0" containsBlank="1" containsNumber="1" minValue="0" maxValue="2196.6014041095891"/>
    </cacheField>
    <cacheField name="Ipva e Taxas" numFmtId="164">
      <sharedItems containsSemiMixedTypes="0" containsString="0" containsNumber="1" containsInteger="1" minValue="0" maxValue="441"/>
    </cacheField>
    <cacheField name="Seguros" numFmtId="0">
      <sharedItems containsString="0" containsBlank="1" containsNumber="1" minValue="207.06" maxValue="207.06"/>
    </cacheField>
    <cacheField name="Combustivel" numFmtId="0">
      <sharedItems containsBlank="1" containsMixedTypes="1" containsNumber="1" minValue="622.20180749999997" maxValue="8795.9754902500008"/>
    </cacheField>
    <cacheField name="% Diesel" numFmtId="9">
      <sharedItems containsMixedTypes="1" containsNumber="1" minValue="0.16072554953310089" maxValue="31.795378991445983"/>
    </cacheField>
    <cacheField name="Contrato Manutenção" numFmtId="0">
      <sharedItems containsString="0" containsBlank="1" containsNumber="1" minValue="0" maxValue="6316.98"/>
    </cacheField>
    <cacheField name="Peças e Acessórios" numFmtId="164">
      <sharedItems containsSemiMixedTypes="0" containsString="0" containsNumber="1" minValue="0" maxValue="1711.67"/>
    </cacheField>
    <cacheField name="Officina Propria" numFmtId="0">
      <sharedItems containsString="0" containsBlank="1" containsNumber="1" minValue="0" maxValue="3257.2699999999995"/>
    </cacheField>
    <cacheField name="Lavagens &amp; Lubrificação" numFmtId="164">
      <sharedItems containsSemiMixedTypes="0" containsString="0" containsNumber="1" minValue="0" maxValue="1711.67"/>
    </cacheField>
    <cacheField name="Serviços Terceiros" numFmtId="0">
      <sharedItems containsString="0" containsBlank="1" containsNumber="1" minValue="0" maxValue="42.322950009794127"/>
    </cacheField>
    <cacheField name="Pneus e Camaras" numFmtId="0">
      <sharedItems containsString="0" containsBlank="1" containsNumber="1" minValue="0" maxValue="7713.7999999999993"/>
    </cacheField>
    <cacheField name="Coluna1" numFmtId="164">
      <sharedItems containsString="0" containsBlank="1" containsNumber="1" containsInteger="1" minValue="0" maxValue="6420"/>
    </cacheField>
    <cacheField name="Pedagios" numFmtId="0">
      <sharedItems containsString="0" containsBlank="1" containsNumber="1" minValue="0" maxValue="4572.7100000000009"/>
    </cacheField>
    <cacheField name="Outros" numFmtId="164">
      <sharedItems containsString="0" containsBlank="1" containsNumber="1" containsInteger="1" minValue="-996" maxValue="-996"/>
    </cacheField>
    <cacheField name="Custos" numFmtId="164">
      <sharedItems containsSemiMixedTypes="0" containsString="0" containsNumber="1" minValue="7588.5039474544346" maxValue="3366361.2134391153"/>
    </cacheField>
    <cacheField name="Resultado " numFmtId="164">
      <sharedItems containsString="0" containsBlank="1" containsNumber="1" minValue="-40463.454045900071" maxValue="-7588.5039474544346"/>
    </cacheField>
    <cacheField name="Geração" numFmtId="164">
      <sharedItems containsString="0" containsBlank="1" containsNumber="1" minValue="-48331.454045900071" maxValue="-15456.503947454436"/>
    </cacheField>
    <cacheField name=" - " numFmtId="0">
      <sharedItems containsNonDate="0" containsString="0" containsBlank="1"/>
    </cacheField>
    <cacheField name=" -     " numFmtId="0">
      <sharedItems containsNonDate="0" containsString="0" containsBlank="1"/>
    </cacheField>
    <cacheField name="    -     " numFmtId="0">
      <sharedItems containsNonDate="0" containsString="0" containsBlank="1"/>
    </cacheField>
    <cacheField name="     -      " numFmtId="0">
      <sharedItems containsNonDate="0" containsString="0" containsBlank="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31">
  <r>
    <x v="0"/>
    <s v="FR-MIN-TAZAY"/>
    <s v="FJX"/>
    <s v="Scania 2022 Na LS"/>
    <n v="1613"/>
    <x v="0"/>
    <n v="1157.6000549999999"/>
    <n v="9414.0899449999997"/>
    <n v="18400"/>
    <n v="7868"/>
    <n v="1388.6"/>
    <n v="441"/>
    <n v="207.06"/>
    <n v="4444.5166284999996"/>
    <n v="0.42041685184677191"/>
    <n v="0"/>
    <n v="925"/>
    <n v="0"/>
    <n v="925"/>
    <n v="25.107362400072763"/>
    <n v="7681.68"/>
    <n v="6420"/>
    <n v="2147.5800000000008"/>
    <n v="-996"/>
    <n v="49877.543990900071"/>
    <n v="-40463.454045900071"/>
    <n v="-48331.454045900071"/>
    <m/>
    <m/>
    <m/>
    <m/>
  </r>
  <r>
    <x v="1"/>
    <s v="FR-MIN-TAZAY"/>
    <s v="FJX"/>
    <s v="Scania 2024 Na LS"/>
    <n v="619"/>
    <x v="1"/>
    <n v="532.28387999999995"/>
    <n v="4328.75612"/>
    <n v="18400"/>
    <n v="7163"/>
    <n v="555.32140410958903"/>
    <n v="441"/>
    <n v="207.06"/>
    <n v="1432.2037210000001"/>
    <n v="0.29462907546533257"/>
    <n v="3003.37"/>
    <n v="225"/>
    <n v="1.82"/>
    <n v="225"/>
    <n v="1.1954251487246355"/>
    <n v="2928"/>
    <n v="0"/>
    <n v="289.56"/>
    <n v="-996"/>
    <n v="33876.530550258314"/>
    <n v="-29547.774430258316"/>
    <n v="-36710.774430258316"/>
    <m/>
    <m/>
    <m/>
    <m/>
  </r>
  <r>
    <x v="2"/>
    <s v="FR-MIN-VALLOUREC"/>
    <s v="FJX"/>
    <s v="Scania 2024 Na LS"/>
    <n v="2726"/>
    <x v="2"/>
    <n v="2067.9797699999995"/>
    <n v="16817.680229999998"/>
    <n v="18400"/>
    <n v="7163"/>
    <n v="544.74140410958898"/>
    <n v="441"/>
    <n v="207.06"/>
    <n v="6123.5498577500002"/>
    <n v="0.32424336018704147"/>
    <n v="3781.99"/>
    <n v="0"/>
    <n v="58.89"/>
    <n v="0"/>
    <n v="5.2645055822671338"/>
    <n v="5323.53"/>
    <n v="3411"/>
    <n v="1797.7100000000005"/>
    <n v="-996"/>
    <n v="46261.73576744186"/>
    <n v="-29444.055537441862"/>
    <n v="-36607.055537441862"/>
    <m/>
    <m/>
    <m/>
    <m/>
  </r>
  <r>
    <x v="3"/>
    <s v="FR-MIN-FERNANDINHO"/>
    <s v="FJX"/>
    <s v="Scania 2024 Na LS"/>
    <n v="2529"/>
    <x v="3"/>
    <n v="1157.3306849999999"/>
    <n v="9411.8993149999988"/>
    <n v="9200"/>
    <n v="7163"/>
    <n v="555.53140410958895"/>
    <n v="441"/>
    <n v="207.06"/>
    <n v="8795.9754902500008"/>
    <n v="0.83222481583332009"/>
    <n v="4233.34"/>
    <n v="225"/>
    <n v="0"/>
    <n v="225"/>
    <n v="4.8840552522206826"/>
    <n v="0"/>
    <n v="3411"/>
    <n v="3390.39"/>
    <n v="-996"/>
    <n v="36856.180949611808"/>
    <n v="-27444.281634611809"/>
    <n v="-34607.281634611805"/>
    <m/>
    <m/>
    <m/>
    <m/>
  </r>
  <r>
    <x v="4"/>
    <s v="FR-MIN-TAZAY"/>
    <s v="FJX"/>
    <s v="Scania 2022 Na LS"/>
    <n v="2339"/>
    <x v="4"/>
    <n v="1700.5076250000002"/>
    <n v="13829.242375000002"/>
    <n v="18400"/>
    <n v="7868"/>
    <n v="539.79140410958905"/>
    <n v="441"/>
    <n v="207.06"/>
    <n v="7097.8669547500003"/>
    <n v="0.45704965983032564"/>
    <n v="0"/>
    <n v="300"/>
    <n v="2.27"/>
    <n v="300"/>
    <n v="36.408010324718035"/>
    <n v="5737.68"/>
    <n v="6420"/>
    <n v="1387.5000000000002"/>
    <n v="-996"/>
    <n v="47741.576369184309"/>
    <n v="-33912.333994184308"/>
    <n v="-41780.333994184308"/>
    <m/>
    <m/>
    <m/>
    <m/>
  </r>
  <r>
    <x v="5"/>
    <s v="FR-MIN-VALLOUREC"/>
    <s v="FJX"/>
    <s v="Scania 2024 Na LS"/>
    <n v="2278"/>
    <x v="5"/>
    <n v="1989.4770300000002"/>
    <n v="16179.262970000002"/>
    <n v="18400"/>
    <n v="7163"/>
    <n v="540.64140410958896"/>
    <n v="441"/>
    <n v="207.06"/>
    <n v="4376.9652712500001"/>
    <n v="0.24090637387347719"/>
    <n v="4229.96"/>
    <n v="0"/>
    <n v="60.75"/>
    <n v="0"/>
    <n v="4.399319044902616"/>
    <n v="3350"/>
    <n v="0"/>
    <n v="361.95"/>
    <n v="-996"/>
    <n v="38139.725994404493"/>
    <n v="-21960.463024404489"/>
    <n v="-29123.463024404489"/>
    <m/>
    <m/>
    <m/>
    <m/>
  </r>
  <r>
    <x v="6"/>
    <s v="FR-MIN-FERNANDINHO"/>
    <s v="FJX"/>
    <s v="Scania 2024 Na LS"/>
    <n v="2273"/>
    <x v="6"/>
    <n v="1113.874515"/>
    <n v="9058.4954849999995"/>
    <n v="9200"/>
    <n v="7163"/>
    <n v="551.95140410958902"/>
    <n v="441"/>
    <n v="207.06"/>
    <n v="6685.1070552499996"/>
    <n v="0.65718284482868794"/>
    <n v="4943.34"/>
    <n v="350"/>
    <n v="19.63"/>
    <n v="350"/>
    <n v="4.3896629451552442"/>
    <n v="0"/>
    <n v="0"/>
    <n v="2955.9500000000012"/>
    <n v="-996"/>
    <n v="31875.428122304747"/>
    <n v="-22816.932637304748"/>
    <n v="-29979.932637304748"/>
    <m/>
    <m/>
    <m/>
    <m/>
  </r>
  <r>
    <x v="7"/>
    <s v="FR-MIN-TAZAY"/>
    <s v="FJX"/>
    <s v="Scania 2024 Na LS"/>
    <n v="1334"/>
    <x v="7"/>
    <n v="632.3055599999999"/>
    <n v="5142.1744399999998"/>
    <n v="18400"/>
    <n v="7163"/>
    <n v="801.26140410958897"/>
    <n v="441"/>
    <n v="207.06"/>
    <n v="2942.7400632499998"/>
    <n v="0.50961126599278206"/>
    <n v="0"/>
    <n v="225"/>
    <n v="1628"/>
    <n v="225"/>
    <n v="2.5762474125988102"/>
    <n v="6241.380000000001"/>
    <n v="6420"/>
    <n v="96.52"/>
    <n v="-996"/>
    <n v="43797.537714772188"/>
    <n v="-38655.363274772186"/>
    <n v="-45818.363274772186"/>
    <m/>
    <m/>
    <m/>
    <m/>
  </r>
  <r>
    <x v="8"/>
    <s v="FR-MIN-VALLOUREC"/>
    <s v="FJX"/>
    <s v="Scania 2024 Na LS"/>
    <n v="2601"/>
    <x v="8"/>
    <n v="1184.2545449999998"/>
    <n v="9630.855454999999"/>
    <n v="18400"/>
    <n v="7163"/>
    <n v="555.51140410958897"/>
    <n v="441"/>
    <n v="207.06"/>
    <n v="4990.8135810000003"/>
    <n v="0.46146674245569402"/>
    <n v="1273.25"/>
    <n v="300"/>
    <n v="3165.72"/>
    <n v="300"/>
    <n v="5.0231030885828378"/>
    <n v="1956"/>
    <n v="3411"/>
    <n v="4379.550000000002"/>
    <n v="-996"/>
    <n v="45551.928088198169"/>
    <n v="-35921.072633198171"/>
    <n v="-43084.072633198171"/>
    <m/>
    <m/>
    <m/>
    <m/>
  </r>
  <r>
    <x v="9"/>
    <s v="FR-MIN-FERNANDINHO"/>
    <s v="FJX"/>
    <s v="Scania 2024 Na LS"/>
    <n v="2600"/>
    <x v="9"/>
    <n v="1996.0864499999998"/>
    <n v="16233.01355"/>
    <n v="9200"/>
    <n v="7163"/>
    <n v="2196.6014041095891"/>
    <n v="441"/>
    <n v="207.06"/>
    <n v="7858.6595327499999"/>
    <n v="0.43110518526696329"/>
    <n v="3021.33"/>
    <n v="150"/>
    <n v="1311.3400000000001"/>
    <n v="150"/>
    <n v="5.0211718686333633"/>
    <n v="5737.68"/>
    <n v="3411"/>
    <n v="2063.2000000000007"/>
    <n v="-996"/>
    <n v="41919.892108728222"/>
    <n v="-25686.878558728222"/>
    <n v="-32849.878558728218"/>
    <m/>
    <m/>
    <m/>
    <m/>
  </r>
  <r>
    <x v="10"/>
    <s v="FR-MIN-FERNANDINHO"/>
    <s v="FJX"/>
    <s v="Scania 2024 Na LS"/>
    <n v="911"/>
    <x v="10"/>
    <n v="766.70476500000007"/>
    <n v="6235.1652350000004"/>
    <n v="9200"/>
    <n v="7163"/>
    <n v="682.51140410958908"/>
    <n v="441"/>
    <n v="207.06"/>
    <n v="1136.1946049999999"/>
    <n v="0.16227016568431002"/>
    <n v="5195.75"/>
    <n v="225"/>
    <n v="0"/>
    <n v="225"/>
    <n v="1.7593413739711516"/>
    <n v="2174"/>
    <n v="0"/>
    <n v="4017.7699999999991"/>
    <n v="-996"/>
    <n v="29673.04535048356"/>
    <n v="-23437.88011548356"/>
    <n v="-30600.88011548356"/>
    <m/>
    <m/>
    <m/>
    <m/>
  </r>
  <r>
    <x v="11"/>
    <s v="FR-MIN-TAZAY"/>
    <s v="FJX"/>
    <s v="Scania 2024 Na LS"/>
    <n v="2351"/>
    <x v="11"/>
    <n v="1910.2647300000001"/>
    <n v="15535.075269999999"/>
    <n v="18400"/>
    <n v="7163"/>
    <n v="541.52140410958907"/>
    <n v="441"/>
    <n v="207.06"/>
    <n v="4288.0991172499998"/>
    <n v="0.24580198019929678"/>
    <n v="2734.98"/>
    <n v="350"/>
    <n v="0.91"/>
    <n v="350"/>
    <n v="4.5402981012142449"/>
    <n v="2372"/>
    <n v="0"/>
    <n v="1158.25"/>
    <n v="-996"/>
    <n v="37015.36081946081"/>
    <n v="-21480.285549460808"/>
    <n v="-28643.285549460808"/>
    <m/>
    <m/>
    <m/>
    <m/>
  </r>
  <r>
    <x v="12"/>
    <s v="FR-MIN-VALLOUREC"/>
    <s v="FJX"/>
    <s v="Scania 2024 Na LS"/>
    <n v="2285"/>
    <x v="12"/>
    <n v="1774.5646650000001"/>
    <n v="14431.505335000002"/>
    <n v="18400"/>
    <n v="7163"/>
    <n v="555.75140410958898"/>
    <n v="441"/>
    <n v="207.06"/>
    <n v="3955.1879542500001"/>
    <n v="0.24405595892464982"/>
    <n v="3617.52"/>
    <n v="0"/>
    <n v="78.52"/>
    <n v="0"/>
    <n v="4.4128375845489369"/>
    <n v="5323.53"/>
    <n v="0"/>
    <n v="1230.6300000000001"/>
    <n v="-996"/>
    <n v="39980.61219594413"/>
    <n v="-25549.106860944128"/>
    <n v="-32712.106860944128"/>
    <m/>
    <m/>
    <m/>
    <m/>
  </r>
  <r>
    <x v="13"/>
    <s v="FR-MIN-TAZAY"/>
    <s v="FJX"/>
    <s v="Scania 2024 Na LS"/>
    <n v="2354"/>
    <x v="13"/>
    <n v="1681.4874749999999"/>
    <n v="13674.562524999999"/>
    <n v="18400"/>
    <n v="7163"/>
    <n v="550.86140410958899"/>
    <n v="441"/>
    <n v="207.06"/>
    <n v="5529.7578700000004"/>
    <n v="0.36010288257722528"/>
    <n v="2759.31"/>
    <n v="350"/>
    <n v="65.289999999999992"/>
    <n v="350"/>
    <n v="4.5460917610626685"/>
    <n v="1956"/>
    <n v="0"/>
    <n v="284.58999999999997"/>
    <n v="-996"/>
    <n v="37065.415365870656"/>
    <n v="-23390.852840870655"/>
    <n v="-30553.852840870655"/>
    <m/>
    <m/>
    <m/>
    <m/>
  </r>
  <r>
    <x v="14"/>
    <s v="FR-MIN-VALLOUREC"/>
    <s v="FJX"/>
    <s v="Scania 2024 Na LS"/>
    <n v="443"/>
    <x v="14"/>
    <n v="296.84026500000004"/>
    <n v="2414.0297350000001"/>
    <n v="18400"/>
    <n v="7163"/>
    <n v="555.75140410958909"/>
    <n v="441"/>
    <n v="207.06"/>
    <n v="2096.6882982500001"/>
    <n v="0.77343741981356529"/>
    <n v="0"/>
    <n v="0"/>
    <n v="0"/>
    <n v="0"/>
    <n v="0.85553043761714609"/>
    <n v="0"/>
    <n v="0"/>
    <n v="1785.6200000000006"/>
    <n v="-996"/>
    <n v="29653.975232797206"/>
    <n v="-27239.945497797205"/>
    <n v="-34402.945497797205"/>
    <m/>
    <m/>
    <m/>
    <m/>
  </r>
  <r>
    <x v="15"/>
    <s v="FR-MIN-TAZAY"/>
    <s v="FJX"/>
    <s v="Scania 2024 Na LS"/>
    <n v="2193"/>
    <x v="15"/>
    <n v="1521.8857500000001"/>
    <n v="12376.614250000002"/>
    <n v="18400"/>
    <n v="7163"/>
    <n v="552.05140410958904"/>
    <n v="441"/>
    <n v="207.06"/>
    <n v="5426.6025774999998"/>
    <n v="0.39044519750332762"/>
    <n v="1382"/>
    <n v="0"/>
    <n v="0"/>
    <n v="0"/>
    <n v="4.2351653491972945"/>
    <n v="2372"/>
    <n v="3411"/>
    <n v="1278.92"/>
    <n v="-996"/>
    <n v="39641.869146958787"/>
    <n v="-27265.254896958784"/>
    <n v="-34428.254896958781"/>
    <m/>
    <m/>
    <m/>
    <m/>
  </r>
  <r>
    <x v="16"/>
    <s v="FR-MIN-FERNANDINHO"/>
    <s v="FJX"/>
    <s v="Scania 2024 Na LS"/>
    <n v="2749"/>
    <x v="16"/>
    <n v="1385.8265250000002"/>
    <n v="11270.123475"/>
    <n v="9200"/>
    <n v="7163"/>
    <n v="751.95140410958902"/>
    <n v="441"/>
    <n v="207.06"/>
    <n v="6484.0483727500005"/>
    <n v="0.51233201559345609"/>
    <n v="5516.61"/>
    <n v="225"/>
    <n v="0"/>
    <n v="225"/>
    <n v="5.3089236411050447"/>
    <n v="1956"/>
    <n v="3411"/>
    <n v="4572.7100000000009"/>
    <n v="-996"/>
    <n v="39162.688700500694"/>
    <n v="-27892.565225500693"/>
    <n v="-35055.565225500693"/>
    <m/>
    <m/>
    <m/>
    <m/>
  </r>
  <r>
    <x v="17"/>
    <s v="FR-MIN-FERNANDINHO"/>
    <s v="FJX"/>
    <s v="Scania 2024 Na LS"/>
    <n v="845"/>
    <x v="17"/>
    <n v="389.17176000000001"/>
    <n v="3164.9082399999998"/>
    <n v="9200"/>
    <n v="7163"/>
    <n v="555.6114041095891"/>
    <n v="441"/>
    <n v="207.06"/>
    <n v="2467.9581680000001"/>
    <n v="0.69440141133570432"/>
    <n v="3879.02"/>
    <n v="0"/>
    <n v="0"/>
    <n v="0"/>
    <n v="1.631880857305843"/>
    <n v="5325.38"/>
    <n v="3411"/>
    <n v="3462.7799999999984"/>
    <n v="-996"/>
    <n v="35118.441452966894"/>
    <n v="-31953.533212966893"/>
    <n v="-39116.533212966897"/>
    <m/>
    <m/>
    <m/>
    <m/>
  </r>
  <r>
    <x v="18"/>
    <s v="FR-MIN-FERNANDINHO"/>
    <s v="FJX"/>
    <s v="Scania 2024 Na LS"/>
    <n v="1019"/>
    <x v="18"/>
    <n v="717.71993999999995"/>
    <n v="5836.8000599999996"/>
    <n v="9200"/>
    <n v="7163"/>
    <n v="555.51140410958897"/>
    <n v="441"/>
    <n v="207.06"/>
    <n v="3046.0539037499998"/>
    <n v="0.46472570130993573"/>
    <n v="5138.63"/>
    <n v="0"/>
    <n v="3257.2699999999995"/>
    <n v="0"/>
    <n v="1.9679131285143836"/>
    <n v="218"/>
    <n v="3411"/>
    <n v="1472.0200000000004"/>
    <n v="-996"/>
    <n v="33115.513220988105"/>
    <n v="-27278.713160988103"/>
    <n v="-34441.713160988103"/>
    <m/>
    <m/>
    <m/>
    <m/>
  </r>
  <r>
    <x v="19"/>
    <s v="FR-MIN-TAZAY"/>
    <s v="FJX"/>
    <s v="Scania 2024 Na LS"/>
    <n v="605"/>
    <x v="19"/>
    <n v="176.887395"/>
    <n v="1438.5226050000001"/>
    <n v="18400"/>
    <n v="7163"/>
    <n v="736.12140410958898"/>
    <n v="441"/>
    <n v="207.06"/>
    <n v="2468.2158085000001"/>
    <n v="1.5279191093901858"/>
    <n v="0"/>
    <n v="650"/>
    <n v="39.26"/>
    <n v="650"/>
    <n v="1.1683880694319941"/>
    <n v="3788"/>
    <n v="6420"/>
    <n v="0"/>
    <n v="-996"/>
    <n v="39967.825600679011"/>
    <n v="-38529.302995679012"/>
    <n v="-45692.302995679012"/>
    <m/>
    <m/>
    <m/>
    <m/>
  </r>
  <r>
    <x v="20"/>
    <s v="FR-MIN-VALLOUREC"/>
    <s v="FJX"/>
    <s v="Scania 2024 Na LS"/>
    <n v="2558"/>
    <x v="20"/>
    <n v="1219.8113850000002"/>
    <n v="9920.0186150000009"/>
    <n v="18400"/>
    <n v="7163"/>
    <n v="551.32140410958903"/>
    <n v="441"/>
    <n v="207.06"/>
    <n v="5965.9531457499997"/>
    <n v="0.53555154304419361"/>
    <n v="4711.2700000000004"/>
    <n v="177.22"/>
    <n v="4.3"/>
    <n v="177.22"/>
    <n v="4.9400606307554398"/>
    <n v="1956"/>
    <n v="3411"/>
    <n v="3764.2499999999995"/>
    <n v="-996"/>
    <n v="45938.534610490344"/>
    <n v="-36018.515995490343"/>
    <n v="-43181.515995490343"/>
    <m/>
    <m/>
    <m/>
    <m/>
  </r>
  <r>
    <x v="21"/>
    <s v="FR-MIN-FERNANDINHO"/>
    <s v="FJX"/>
    <s v="Scania 2024 Na LS"/>
    <n v="2734"/>
    <x v="21"/>
    <n v="1108.1345250000002"/>
    <n v="9011.8154750000012"/>
    <n v="9200"/>
    <n v="7163"/>
    <n v="548.86140410958899"/>
    <n v="441"/>
    <n v="207.06"/>
    <n v="8350.2673345000003"/>
    <n v="0.82512930740764523"/>
    <n v="4622.47"/>
    <n v="0"/>
    <n v="0"/>
    <n v="0"/>
    <n v="5.2799553418629293"/>
    <n v="2372"/>
    <n v="0"/>
    <n v="3378.2500000000009"/>
    <n v="-996"/>
    <n v="35292.188693951452"/>
    <n v="-26280.373218951449"/>
    <n v="-33443.373218951449"/>
    <m/>
    <m/>
    <m/>
    <m/>
  </r>
  <r>
    <x v="22"/>
    <s v="FR-MIN-VALLOUREC"/>
    <s v="FJX"/>
    <s v="Scania 2024 Na LS"/>
    <n v="1991"/>
    <x v="22"/>
    <n v="1451.3699400000003"/>
    <n v="11803.150060000002"/>
    <n v="18400"/>
    <n v="7163"/>
    <n v="682.51140410958897"/>
    <n v="441"/>
    <n v="207.06"/>
    <n v="5314.9550577500004"/>
    <n v="0.40099189240726935"/>
    <n v="2011.08"/>
    <n v="83.230000000000018"/>
    <n v="645.07999999999947"/>
    <n v="83.230000000000018"/>
    <n v="3.8450589194034719"/>
    <n v="1956"/>
    <n v="0"/>
    <n v="1568.5200000000004"/>
    <n v="-996"/>
    <n v="37563.511520778993"/>
    <n v="-25760.361460778993"/>
    <n v="-32923.361460778993"/>
    <m/>
    <m/>
    <m/>
    <m/>
  </r>
  <r>
    <x v="23"/>
    <s v="FR-MIN-FERNANDINHO"/>
    <s v="FJX"/>
    <s v="Scania 2024 Na LS"/>
    <n v="2650"/>
    <x v="23"/>
    <n v="975.30336000000011"/>
    <n v="7931.5766400000011"/>
    <n v="9200"/>
    <n v="7163"/>
    <n v="680.49140410958898"/>
    <n v="441"/>
    <n v="207.06"/>
    <n v="6711.2872937499997"/>
    <n v="0.75349474717858544"/>
    <n v="5081.21"/>
    <n v="0"/>
    <n v="1330.0600000000002"/>
    <n v="0"/>
    <n v="5.1177328661070822"/>
    <n v="1956"/>
    <n v="3411"/>
    <n v="3691.9899999999993"/>
    <n v="-996"/>
    <n v="38882.216430725704"/>
    <n v="-30950.639790725705"/>
    <n v="-38113.639790725705"/>
    <m/>
    <m/>
    <m/>
    <m/>
  </r>
  <r>
    <x v="24"/>
    <s v="FR-MIN-FERNANDINHO"/>
    <s v="FJX"/>
    <s v="Scania 2024 Na LS"/>
    <n v="2779"/>
    <x v="24"/>
    <n v="1036.4842950000002"/>
    <n v="8429.1257050000022"/>
    <n v="9200"/>
    <n v="7163"/>
    <n v="552.05140410958904"/>
    <n v="441"/>
    <n v="207.06"/>
    <n v="7624.9597807500004"/>
    <n v="0.80554341249533823"/>
    <n v="4175.3"/>
    <n v="0"/>
    <n v="0"/>
    <n v="0"/>
    <n v="5.3668602395892755"/>
    <n v="593"/>
    <n v="3411"/>
    <n v="3269.6800000000003"/>
    <n v="-996"/>
    <n v="35646.418045099177"/>
    <n v="-27217.292340099175"/>
    <n v="-34380.292340099171"/>
    <m/>
    <m/>
    <m/>
    <m/>
  </r>
  <r>
    <x v="25"/>
    <s v="FR-MIN-FERNANDINHO"/>
    <s v="FJX"/>
    <s v="Scania 2024 Na LS"/>
    <n v="3192"/>
    <x v="25"/>
    <n v="1675.9369200000006"/>
    <n v="13629.423080000004"/>
    <n v="9200"/>
    <n v="7163"/>
    <n v="539.98140410958899"/>
    <n v="441"/>
    <n v="207.06"/>
    <n v="6039.3806882500003"/>
    <n v="0.39459252760144148"/>
    <n v="6316.98"/>
    <n v="225"/>
    <n v="0"/>
    <n v="225"/>
    <n v="6.1644540787221906"/>
    <n v="3350"/>
    <n v="0"/>
    <n v="3312.9599999999982"/>
    <n v="-996"/>
    <n v="36030.526546438312"/>
    <n v="-22401.103466438308"/>
    <n v="-29564.103466438308"/>
    <m/>
    <m/>
    <m/>
    <m/>
  </r>
  <r>
    <x v="26"/>
    <s v="FR-MIN-FERNANDINHO"/>
    <s v="FJX"/>
    <s v="Scania 2024 Na LS"/>
    <n v="2610"/>
    <x v="26"/>
    <n v="1145.6820749999999"/>
    <n v="9317.1679249999979"/>
    <n v="9200"/>
    <n v="7163"/>
    <n v="551.08140410958902"/>
    <n v="441"/>
    <n v="207.06"/>
    <n v="7403.5673172500001"/>
    <n v="0.70760522393516123"/>
    <n v="4042.08"/>
    <n v="350"/>
    <n v="0"/>
    <n v="350"/>
    <n v="5.0404840681281069"/>
    <n v="5737.68"/>
    <n v="3411"/>
    <n v="3245.5400000000004"/>
    <n v="-996"/>
    <n v="41111.04920542772"/>
    <n v="-31793.881280427722"/>
    <n v="-38956.881280427726"/>
    <m/>
    <m/>
    <m/>
    <m/>
  </r>
  <r>
    <x v="27"/>
    <s v="FR-MIN-VALLOUREC"/>
    <s v="FJX"/>
    <s v="Scania 2024 Na LS"/>
    <n v="2456"/>
    <x v="27"/>
    <n v="1953.4274399999997"/>
    <n v="15886.092559999997"/>
    <n v="18400"/>
    <n v="7163"/>
    <n v="555.32140410958903"/>
    <n v="441"/>
    <n v="207.06"/>
    <n v="3557.8171200000002"/>
    <n v="0.19943457671506862"/>
    <n v="3788.64"/>
    <n v="425"/>
    <n v="39.89"/>
    <n v="425"/>
    <n v="4.7430761959090537"/>
    <n v="6299.8"/>
    <n v="0"/>
    <n v="1773.5600000000004"/>
    <n v="-996"/>
    <n v="42084.831600305501"/>
    <n v="-26198.739040305503"/>
    <n v="-33361.739040305503"/>
    <m/>
    <m/>
    <m/>
    <m/>
  </r>
  <r>
    <x v="28"/>
    <s v="FR-MIN-VALLOUREC"/>
    <s v="FJX"/>
    <s v="Scania 2024 Na LS"/>
    <n v="2088"/>
    <x v="28"/>
    <n v="1636.3001100000001"/>
    <n v="13307.079890000001"/>
    <n v="18400"/>
    <n v="7163"/>
    <n v="552.19140410958903"/>
    <n v="441"/>
    <n v="207.06"/>
    <n v="2671.9400792500001"/>
    <n v="0.17880426511605807"/>
    <n v="2960.53"/>
    <n v="425"/>
    <n v="39.26"/>
    <n v="425"/>
    <n v="4.0323872545024857"/>
    <n v="2372"/>
    <n v="3411"/>
    <n v="1845.9800000000007"/>
    <n v="-996"/>
    <n v="39921.993870614089"/>
    <n v="-26614.913980614088"/>
    <n v="-33777.913980614088"/>
    <m/>
    <m/>
    <m/>
    <m/>
  </r>
  <r>
    <x v="29"/>
    <s v="FR-MIN-VALLOUREC"/>
    <s v="FJX"/>
    <s v="Scania 2024 Na LS"/>
    <n v="1978"/>
    <x v="29"/>
    <n v="1155.13302"/>
    <n v="9394.0269800000005"/>
    <n v="18400"/>
    <n v="7163"/>
    <n v="540.08140410958902"/>
    <n v="441"/>
    <n v="207.06"/>
    <n v="4438.7296265000004"/>
    <n v="0.4207661677801835"/>
    <n v="5970.42"/>
    <n v="1486.67"/>
    <n v="58.89"/>
    <n v="1486.67"/>
    <n v="3.8199530600603047"/>
    <n v="2372"/>
    <n v="0"/>
    <n v="1725.3200000000006"/>
    <n v="-996"/>
    <n v="43297.660983669644"/>
    <n v="-33903.634003669642"/>
    <n v="-41066.634003669642"/>
    <m/>
    <m/>
    <m/>
    <m/>
  </r>
  <r>
    <x v="30"/>
    <s v="FR-MIN-FERNANDINHO"/>
    <s v="FJX"/>
    <s v="Scania 2024 Na LS"/>
    <n v="1039"/>
    <x v="30"/>
    <n v="379.34413499999999"/>
    <n v="3084.9858650000001"/>
    <n v="9200"/>
    <n v="7163"/>
    <n v="552.19140410958903"/>
    <n v="441"/>
    <n v="207.06"/>
    <n v="2530.7035390000001"/>
    <n v="0.73050302338403106"/>
    <n v="2496.36"/>
    <n v="0"/>
    <n v="39.26"/>
    <n v="0"/>
    <n v="2.006537527503871"/>
    <n v="2268"/>
    <n v="0"/>
    <n v="477.63"/>
    <n v="-996"/>
    <n v="24381.211480637096"/>
    <n v="-21296.225615637097"/>
    <n v="-28459.225615637097"/>
    <m/>
    <m/>
    <m/>
    <m/>
  </r>
  <r>
    <x v="31"/>
    <s v="FR_MIN_FERRO+"/>
    <s v="TORA"/>
    <s v="Scania 2024 na 4º Eixo"/>
    <n v="2308"/>
    <x v="31"/>
    <n v="134.54046000000002"/>
    <n v="1094.1395400000004"/>
    <n v="0"/>
    <n v="7868"/>
    <n v="552.19140410958903"/>
    <n v="441"/>
    <n v="207.06"/>
    <n v="7110.5111577500002"/>
    <n v="5.7871139415877186"/>
    <n v="2098.98"/>
    <n v="225"/>
    <n v="132.73999999999998"/>
    <n v="225"/>
    <n v="35.925475771461876"/>
    <n v="0"/>
    <n v="3411"/>
    <n v="0"/>
    <n v="-996"/>
    <n v="21311.408037631052"/>
    <n v="-20217.268497631052"/>
    <n v="-28085.268497631052"/>
    <m/>
    <m/>
    <m/>
    <m/>
  </r>
  <r>
    <x v="32"/>
    <s v="FR-MIN-VALLOUREC"/>
    <s v="FJX"/>
    <s v="Scania 2024 Na LS"/>
    <n v="1831"/>
    <x v="32"/>
    <n v="1365.3938250000003"/>
    <n v="11103.956175000001"/>
    <n v="18400"/>
    <n v="7163"/>
    <n v="555.51140410958897"/>
    <n v="441"/>
    <n v="207.06"/>
    <n v="5140.2549802499998"/>
    <n v="0.4122311892961541"/>
    <n v="3299.11"/>
    <n v="125"/>
    <n v="40.1"/>
    <n v="125"/>
    <n v="3.5360637274875724"/>
    <n v="0"/>
    <n v="0"/>
    <n v="1761.5000000000007"/>
    <n v="-996"/>
    <n v="36265.072448087078"/>
    <n v="-25161.116273087078"/>
    <n v="-32324.116273087078"/>
    <m/>
    <m/>
    <m/>
    <m/>
  </r>
  <r>
    <x v="33"/>
    <s v="FR_MIN_FERRO+"/>
    <s v="TORA"/>
    <s v="Scania 2024 na 4º Eixo"/>
    <n v="1871"/>
    <x v="33"/>
    <n v="113.434335"/>
    <n v="922.49566500000003"/>
    <n v="0"/>
    <n v="7868"/>
    <n v="555.51140410958897"/>
    <n v="441"/>
    <n v="207.06"/>
    <n v="5282.0959847499998"/>
    <n v="5.0988927676097804"/>
    <n v="2189.37"/>
    <n v="375"/>
    <n v="0"/>
    <n v="375"/>
    <n v="29.123295133624424"/>
    <n v="0"/>
    <n v="0"/>
    <n v="0"/>
    <n v="-996"/>
    <n v="16326.160683993212"/>
    <n v="-15403.665018993212"/>
    <n v="-23271.665018993212"/>
    <m/>
    <m/>
    <m/>
    <m/>
  </r>
  <r>
    <x v="34"/>
    <s v="FR-MIN-VALLOUREC"/>
    <s v="FJX"/>
    <s v="Scania 2024 Na LS - ALUGUEL"/>
    <n v="2101"/>
    <x v="34"/>
    <n v="1551.024795"/>
    <n v="12613.585205000001"/>
    <n v="18400"/>
    <n v="7163"/>
    <n v="691.79140410958905"/>
    <n v="441"/>
    <n v="207.06"/>
    <n v="4852.5894527500004"/>
    <n v="0.34258546142463508"/>
    <n v="0"/>
    <n v="0"/>
    <n v="39.26"/>
    <n v="0"/>
    <n v="32.703390206170454"/>
    <n v="0"/>
    <n v="6420"/>
    <n v="1351.2800000000002"/>
    <n v="-996"/>
    <n v="38602.684247065758"/>
    <n v="-25989.099042065754"/>
    <n v="-33152.099042065754"/>
    <m/>
    <m/>
    <m/>
    <m/>
  </r>
  <r>
    <x v="35"/>
    <s v="FR-MIN-VALLOUREC"/>
    <s v="FJX"/>
    <s v="Scania 2024 Na LS"/>
    <n v="2935"/>
    <x v="35"/>
    <n v="1610.332185"/>
    <n v="13095.897815"/>
    <n v="18400"/>
    <n v="7163"/>
    <n v="555.51140410958897"/>
    <n v="441"/>
    <n v="207.06"/>
    <n v="5561.8737492500004"/>
    <n v="0.37819847433706671"/>
    <n v="3904.22"/>
    <n v="200"/>
    <n v="62.67"/>
    <n v="200"/>
    <n v="5.6681305517072778"/>
    <n v="972"/>
    <n v="0"/>
    <n v="1230.6400000000001"/>
    <n v="-996"/>
    <n v="37907.643283911297"/>
    <n v="-24811.745468911296"/>
    <n v="-31974.745468911296"/>
    <m/>
    <m/>
    <m/>
    <m/>
  </r>
  <r>
    <x v="36"/>
    <s v="FR_MIN_FERRO+"/>
    <s v="TORA"/>
    <s v="Scania 2024 Na LS - ALUGUEL"/>
    <n v="2719"/>
    <x v="36"/>
    <n v="62.679989999999997"/>
    <n v="509.74000999999998"/>
    <n v="0"/>
    <n v="7163"/>
    <n v="540.32140410958903"/>
    <n v="441"/>
    <n v="207.06"/>
    <n v="5647.2221195000002"/>
    <n v="9.8655220284057172"/>
    <n v="1845.2"/>
    <n v="450"/>
    <n v="0"/>
    <n v="450"/>
    <n v="42.322950009794127"/>
    <n v="0"/>
    <n v="0"/>
    <n v="0"/>
    <n v="-996"/>
    <n v="15790.126473619383"/>
    <n v="-15280.386463619383"/>
    <n v="-22443.386463619383"/>
    <m/>
    <m/>
    <m/>
    <m/>
  </r>
  <r>
    <x v="37"/>
    <s v="FR_MIN_FERRO+"/>
    <s v="TORA"/>
    <s v="Scania 2024 Na LS"/>
    <n v="2428"/>
    <x v="37"/>
    <n v="62.631810000000002"/>
    <n v="509.34819000000005"/>
    <n v="0"/>
    <n v="7163"/>
    <n v="555.51140410958897"/>
    <n v="441"/>
    <n v="207.06"/>
    <n v="5210.5412905000003"/>
    <n v="9.109656439910486"/>
    <n v="1957.65"/>
    <n v="225"/>
    <n v="0"/>
    <n v="225"/>
    <n v="4.689002037323772"/>
    <n v="2372"/>
    <n v="0"/>
    <n v="0"/>
    <n v="-996"/>
    <n v="17365.451696646913"/>
    <n v="-16856.103506646912"/>
    <n v="-24019.103506646912"/>
    <m/>
    <m/>
    <m/>
    <m/>
  </r>
  <r>
    <x v="38"/>
    <s v="FR-MIN-VALLOUREC"/>
    <s v="FJX"/>
    <s v="Scania 2024 Na LS"/>
    <n v="1881"/>
    <x v="38"/>
    <n v="618.99583499999994"/>
    <n v="5033.9341649999997"/>
    <n v="18400"/>
    <n v="7163"/>
    <n v="804.70140410958902"/>
    <n v="441"/>
    <n v="207.06"/>
    <n v="2905.3326444999998"/>
    <n v="0.51395164003446003"/>
    <n v="4086.12"/>
    <n v="0"/>
    <n v="39.26"/>
    <n v="0"/>
    <n v="3.6326247249612909"/>
    <n v="2969"/>
    <n v="0"/>
    <n v="1339.2300000000002"/>
    <n v="-996"/>
    <n v="37362.336673334547"/>
    <n v="-32328.402508334548"/>
    <n v="-39491.402508334548"/>
    <m/>
    <m/>
    <m/>
    <m/>
  </r>
  <r>
    <x v="39"/>
    <s v="FR-MIN-VALLOUREC"/>
    <s v="FJX"/>
    <s v="Scania 2024 Na LS"/>
    <n v="2164"/>
    <x v="39"/>
    <n v="1435.76838"/>
    <n v="11676.27162"/>
    <n v="18400"/>
    <n v="7163"/>
    <n v="540.08140410958902"/>
    <n v="441"/>
    <n v="207.06"/>
    <n v="2107.4398345"/>
    <n v="0.16072554953310089"/>
    <n v="3628.75"/>
    <n v="225"/>
    <n v="39.26"/>
    <n v="225"/>
    <n v="4.1791599706625382"/>
    <n v="978"/>
    <n v="0"/>
    <n v="1242.6200000000001"/>
    <n v="-996"/>
    <n v="34205.390398580246"/>
    <n v="-22529.118778580247"/>
    <n v="-29692.118778580247"/>
    <m/>
    <m/>
    <m/>
    <m/>
  </r>
  <r>
    <x v="40"/>
    <s v="FR_MIN_FERRO+"/>
    <s v="TORA"/>
    <s v="Scania 2024 na 4º Eixo"/>
    <n v="1987"/>
    <x v="40"/>
    <n v="91.982190000000017"/>
    <n v="748.03781000000004"/>
    <n v="0"/>
    <n v="7868"/>
    <n v="555.32140410958903"/>
    <n v="441"/>
    <n v="207.06"/>
    <n v="5812.4885910000003"/>
    <n v="6.9194645258446226"/>
    <n v="1906.33"/>
    <n v="225"/>
    <n v="0"/>
    <n v="225"/>
    <n v="30.928908300647638"/>
    <n v="0"/>
    <n v="0"/>
    <n v="0"/>
    <n v="-996"/>
    <n v="16275.128903410237"/>
    <n v="-15527.091093410238"/>
    <n v="-23395.091093410236"/>
    <m/>
    <m/>
    <m/>
    <m/>
  </r>
  <r>
    <x v="41"/>
    <s v="FR_MIN_FERRO+"/>
    <s v="TORA"/>
    <s v="Scania 2024 na 4º Eixo"/>
    <n v="2253"/>
    <x v="41"/>
    <n v="112.68207"/>
    <n v="916.37792999999999"/>
    <n v="0"/>
    <n v="7868"/>
    <n v="555.32140410958903"/>
    <n v="441"/>
    <n v="207.06"/>
    <n v="7077.9691807500003"/>
    <n v="6.8780918321089155"/>
    <n v="2286.38"/>
    <n v="1486.67"/>
    <n v="0"/>
    <n v="1486.67"/>
    <n v="35.069366080200872"/>
    <n v="2372"/>
    <n v="0"/>
    <n v="0"/>
    <n v="-996"/>
    <n v="22820.139950939789"/>
    <n v="-21903.76202093979"/>
    <n v="-29771.76202093979"/>
    <m/>
    <m/>
    <m/>
    <m/>
  </r>
  <r>
    <x v="42"/>
    <s v="FR_MIN_FERRO+"/>
    <s v="TORA"/>
    <s v="Scania 2024 na 4º Eixo"/>
    <n v="2148"/>
    <x v="42"/>
    <n v="114.06176999999998"/>
    <n v="927.59822999999983"/>
    <n v="0"/>
    <n v="7868"/>
    <n v="539.98140410958899"/>
    <n v="441"/>
    <n v="207.06"/>
    <n v="5400.0457875000002"/>
    <n v="5.1840771340936591"/>
    <n v="1755.14"/>
    <n v="1711.67"/>
    <n v="2.27"/>
    <n v="1711.67"/>
    <n v="33.434974851429857"/>
    <n v="0"/>
    <n v="0"/>
    <n v="0"/>
    <n v="-996"/>
    <n v="18674.272166461018"/>
    <n v="-17746.673936461018"/>
    <n v="-25614.673936461018"/>
    <m/>
    <m/>
    <m/>
    <m/>
  </r>
  <r>
    <x v="43"/>
    <s v="FR_MIN_FERRO+"/>
    <s v="TORA"/>
    <s v="Scania 2024 na 4º Eixo"/>
    <n v="1975"/>
    <x v="43"/>
    <n v="87.871560000000002"/>
    <n v="714.60843999999997"/>
    <n v="0"/>
    <n v="7868"/>
    <n v="553.63140410958897"/>
    <n v="441"/>
    <n v="207.06"/>
    <n v="4689.7507475000002"/>
    <n v="5.8440718117585488"/>
    <n v="2327.84"/>
    <n v="450"/>
    <n v="0"/>
    <n v="450"/>
    <n v="30.742120731645237"/>
    <n v="0"/>
    <n v="0"/>
    <n v="0"/>
    <n v="-996"/>
    <n v="16022.024272341234"/>
    <n v="-15307.415832341234"/>
    <n v="-23175.415832341234"/>
    <m/>
    <m/>
    <m/>
    <m/>
  </r>
  <r>
    <x v="44"/>
    <s v="FR_MIN_FERRO+"/>
    <s v="TORA"/>
    <s v="Scania 2024 Na LS - ALUGUEL"/>
    <n v="2113"/>
    <x v="44"/>
    <n v="42.408254999999997"/>
    <n v="344.88174499999997"/>
    <n v="0"/>
    <n v="7163"/>
    <n v="555.32140410958903"/>
    <n v="441"/>
    <n v="207.06"/>
    <n v="4452.0476584999997"/>
    <n v="11.495385004776782"/>
    <n v="2050.44"/>
    <n v="0"/>
    <n v="0"/>
    <n v="0"/>
    <n v="32.890177775172852"/>
    <n v="972"/>
    <n v="0"/>
    <n v="0"/>
    <n v="-996"/>
    <n v="14877.759240384761"/>
    <n v="-14532.877495384761"/>
    <n v="-21695.877495384761"/>
    <m/>
    <m/>
    <m/>
    <m/>
  </r>
  <r>
    <x v="45"/>
    <s v="FR_MIN_FERRO+"/>
    <s v="TORA"/>
    <s v="Scania 2024 Na LS - ALUGUEL"/>
    <n v="2183"/>
    <x v="45"/>
    <n v="42.348030000000001"/>
    <n v="344.39197000000001"/>
    <n v="0"/>
    <n v="7163"/>
    <n v="548.86140410958899"/>
    <n v="441"/>
    <n v="207.06"/>
    <n v="4217.8623532499996"/>
    <n v="10.906196290143248"/>
    <n v="2081.0100000000002"/>
    <n v="477.22"/>
    <n v="0"/>
    <n v="477.22"/>
    <n v="33.979771927686862"/>
    <n v="0"/>
    <n v="0"/>
    <n v="0"/>
    <n v="-996"/>
    <n v="14651.213529287277"/>
    <n v="-14306.821559287277"/>
    <n v="-21469.821559287277"/>
    <m/>
    <m/>
    <m/>
    <m/>
  </r>
  <r>
    <x v="46"/>
    <s v="FR-MIN-TAZAY"/>
    <s v="FJX"/>
    <s v="Scania 2022 Na LS"/>
    <n v="1646"/>
    <x v="46"/>
    <n v="1110.1044300000001"/>
    <n v="9027.8355700000011"/>
    <n v="18400"/>
    <n v="7868"/>
    <n v="539.68140410958904"/>
    <n v="441"/>
    <n v="207.06"/>
    <n v="4653.9288087499999"/>
    <n v="0.45906059897276957"/>
    <n v="0"/>
    <n v="150"/>
    <n v="39.26"/>
    <n v="150"/>
    <n v="25.621028214829366"/>
    <n v="2164"/>
    <n v="6420"/>
    <n v="1978.6700000000005"/>
    <n v="-996"/>
    <n v="42041.221241074418"/>
    <n v="-33013.385671074415"/>
    <n v="-40881.385671074415"/>
    <m/>
    <m/>
    <m/>
    <m/>
  </r>
  <r>
    <x v="47"/>
    <s v="FR-MIN-VALLOUREC"/>
    <s v="FJX"/>
    <s v="Scania 2024 Na LS"/>
    <n v="2682"/>
    <x v="47"/>
    <n v="1569.6343200000001"/>
    <n v="12764.92568"/>
    <n v="18400"/>
    <n v="7163"/>
    <n v="548.43140410958904"/>
    <n v="441"/>
    <n v="207.06"/>
    <n v="3890.8868309999998"/>
    <n v="0.27143399106774113"/>
    <n v="4048.22"/>
    <n v="0"/>
    <n v="39.26"/>
    <n v="0"/>
    <n v="5.1795319044902621"/>
    <n v="1956"/>
    <n v="0"/>
    <n v="1568.4700000000003"/>
    <n v="-996"/>
    <n v="37271.507767014074"/>
    <n v="-24506.582087014074"/>
    <n v="-31669.582087014074"/>
    <m/>
    <m/>
    <m/>
    <m/>
  </r>
  <r>
    <x v="48"/>
    <s v="FR_MIN_FERRO+"/>
    <s v="TORA"/>
    <s v="Scania 2024 Na LS"/>
    <n v="1914"/>
    <x v="48"/>
    <n v="67.021664999999999"/>
    <n v="545.04833499999995"/>
    <n v="0"/>
    <n v="7163"/>
    <n v="555.51140410958908"/>
    <n v="441"/>
    <n v="207.06"/>
    <n v="5001.238112"/>
    <n v="8.171023105200387"/>
    <n v="1916"/>
    <n v="0"/>
    <n v="0"/>
    <n v="0"/>
    <n v="3.6963549832939453"/>
    <n v="0"/>
    <n v="3411"/>
    <n v="0"/>
    <n v="-996"/>
    <n v="17702.505871092882"/>
    <n v="-17157.457536092883"/>
    <n v="-24320.457536092883"/>
    <m/>
    <m/>
    <m/>
    <m/>
  </r>
  <r>
    <x v="49"/>
    <s v="FR_MIN_FERRO+"/>
    <s v="TORA"/>
    <s v="Scania 2024 na 4º Eixo"/>
    <n v="1950"/>
    <x v="49"/>
    <n v="68.347710000000006"/>
    <n v="555.83229000000006"/>
    <n v="0"/>
    <n v="7868"/>
    <n v="555.75140410958909"/>
    <n v="441"/>
    <n v="207.06"/>
    <n v="7303.8703530000003"/>
    <n v="11.701544991829278"/>
    <n v="1843.59"/>
    <n v="1513.89"/>
    <n v="0"/>
    <n v="1513.89"/>
    <n v="30.352979962890235"/>
    <n v="0"/>
    <n v="0"/>
    <n v="0"/>
    <n v="-996"/>
    <n v="20281.40473707248"/>
    <n v="-19725.572447072482"/>
    <n v="-27593.572447072482"/>
    <m/>
    <m/>
    <m/>
    <m/>
  </r>
  <r>
    <x v="50"/>
    <s v="FR_MIN_FERRO+"/>
    <s v="TORA"/>
    <s v="Scania 2024 Na LS"/>
    <n v="2401"/>
    <x v="50"/>
    <n v="21.377685000000003"/>
    <n v="173.852315"/>
    <n v="0"/>
    <n v="7163"/>
    <n v="555.51140410958897"/>
    <n v="441"/>
    <n v="207.06"/>
    <n v="6207.4118404999999"/>
    <n v="31.795378991445983"/>
    <n v="2192.6799999999998"/>
    <n v="0"/>
    <n v="0"/>
    <n v="0"/>
    <n v="4.6368590986879639"/>
    <n v="0"/>
    <n v="0"/>
    <n v="0"/>
    <n v="-996"/>
    <n v="15775.300103708276"/>
    <n v="-15601.447788708276"/>
    <n v="-22764.447788708276"/>
    <m/>
    <m/>
    <m/>
    <m/>
  </r>
  <r>
    <x v="51"/>
    <s v="FR-MIN-FERNANDINHO"/>
    <s v="FJX"/>
    <s v="Scania 2024 Na LS"/>
    <n v="2519"/>
    <x v="51"/>
    <n v="1170.7510049999999"/>
    <n v="9521.038994999999"/>
    <n v="9200"/>
    <n v="7163"/>
    <n v="539.98140410958899"/>
    <n v="441"/>
    <n v="207.06"/>
    <n v="8211.4981974999992"/>
    <n v="0.76801903119122239"/>
    <n v="5379.71"/>
    <n v="200"/>
    <n v="0"/>
    <n v="200"/>
    <n v="4.864743052725939"/>
    <n v="5737.68"/>
    <n v="0"/>
    <n v="2750.9300000000003"/>
    <n v="-996"/>
    <n v="39039.724344662318"/>
    <n v="-29518.685349662319"/>
    <n v="-36681.685349662323"/>
    <m/>
    <m/>
    <m/>
    <m/>
  </r>
  <r>
    <x v="52"/>
    <s v="FR-MIN-FERNANDINHO"/>
    <s v="FJX"/>
    <s v="Scania 2024 Na LS"/>
    <n v="2349"/>
    <x v="52"/>
    <n v="1121.0478600000001"/>
    <n v="9116.8321400000004"/>
    <n v="9200"/>
    <n v="7163"/>
    <n v="552.05140410958904"/>
    <n v="441"/>
    <n v="207.06"/>
    <n v="6581.7436685000002"/>
    <n v="0.64288150168784941"/>
    <n v="3308.22"/>
    <n v="575"/>
    <n v="291.65999999999997"/>
    <n v="575"/>
    <n v="4.5364356613152967"/>
    <n v="1186"/>
    <n v="3411"/>
    <n v="3257.679999999998"/>
    <n v="-996"/>
    <n v="35757.951508270904"/>
    <n v="-26641.119368270905"/>
    <n v="-33804.119368270905"/>
    <m/>
    <m/>
    <m/>
    <m/>
  </r>
  <r>
    <x v="53"/>
    <s v="FR-MIN-FERNANDINHO"/>
    <s v="FJX"/>
    <s v="Scania 2024 Na LS"/>
    <n v="0"/>
    <x v="53"/>
    <n v="0"/>
    <n v="0"/>
    <n v="9200"/>
    <n v="7163"/>
    <n v="555.851404109589"/>
    <n v="441"/>
    <n v="207.06"/>
    <s v=""/>
    <s v=""/>
    <n v="6094.74"/>
    <n v="325"/>
    <n v="0"/>
    <n v="325"/>
    <n v="0"/>
    <n v="1894"/>
    <n v="3411"/>
    <n v="772.19"/>
    <n v="-996"/>
    <n v="29392.841404109589"/>
    <n v="-29392.841404109589"/>
    <n v="-36555.841404109589"/>
    <m/>
    <m/>
    <m/>
    <m/>
  </r>
  <r>
    <x v="54"/>
    <s v="FR-MIN-FERNANDINHO"/>
    <s v="FJX"/>
    <s v="Scania 2024 Na LS"/>
    <n v="0"/>
    <x v="53"/>
    <n v="0"/>
    <n v="0"/>
    <n v="9200"/>
    <n v="7163"/>
    <n v="494.43"/>
    <n v="441"/>
    <n v="207.06"/>
    <s v=""/>
    <s v=""/>
    <n v="0"/>
    <n v="0"/>
    <n v="0"/>
    <n v="0"/>
    <n v="0"/>
    <n v="0"/>
    <n v="3411"/>
    <n v="0"/>
    <n v="-996"/>
    <n v="19920.490000000002"/>
    <n v="-19920.490000000002"/>
    <n v="-27083.49"/>
    <m/>
    <m/>
    <m/>
    <m/>
  </r>
  <r>
    <x v="55"/>
    <s v="FR-MIN-TAZAY"/>
    <s v="FJX"/>
    <s v="Scania 2024 Na LS"/>
    <n v="497"/>
    <x v="53"/>
    <n v="0"/>
    <n v="0"/>
    <n v="18400"/>
    <n v="7163"/>
    <n v="1070.741404109589"/>
    <n v="441"/>
    <n v="207.06"/>
    <n v="2127.5357935000002"/>
    <s v=""/>
    <n v="0"/>
    <n v="150"/>
    <n v="0"/>
    <n v="150"/>
    <n v="0.95981631488876218"/>
    <n v="1956"/>
    <n v="6420"/>
    <n v="193.04"/>
    <n v="-996"/>
    <n v="37283.33701392448"/>
    <n v="-37283.33701392448"/>
    <n v="-44446.33701392448"/>
    <m/>
    <m/>
    <m/>
    <m/>
  </r>
  <r>
    <x v="56"/>
    <s v="FR-MIN-TAZAY"/>
    <s v="FJX"/>
    <s v="Scania 2024 Na LS"/>
    <n v="467"/>
    <x v="53"/>
    <n v="0"/>
    <n v="0"/>
    <n v="18400"/>
    <n v="7163"/>
    <n v="551.95140410958902"/>
    <n v="441"/>
    <n v="207.06"/>
    <n v="622.20180749999997"/>
    <s v=""/>
    <n v="2875.67"/>
    <n v="300"/>
    <n v="42.699999999999996"/>
    <n v="300"/>
    <n v="0.90187971640453102"/>
    <n v="2372"/>
    <n v="0"/>
    <n v="0"/>
    <n v="-996"/>
    <n v="32280.485091325998"/>
    <n v="-32280.485091325998"/>
    <n v="-39443.485091326002"/>
    <m/>
    <m/>
    <m/>
    <m/>
  </r>
  <r>
    <x v="57"/>
    <s v="FR-MIN-TAZAY"/>
    <s v="FJX"/>
    <s v="Scania 2022 Na LS"/>
    <n v="0"/>
    <x v="53"/>
    <n v="0"/>
    <n v="0"/>
    <n v="18400"/>
    <n v="7868"/>
    <n v="539.68140410958904"/>
    <n v="441"/>
    <n v="207.06"/>
    <s v=""/>
    <s v=""/>
    <n v="0"/>
    <n v="450"/>
    <n v="0"/>
    <n v="450"/>
    <n v="0"/>
    <n v="0"/>
    <n v="6420"/>
    <n v="0"/>
    <n v="-996"/>
    <n v="33779.741404109584"/>
    <n v="-33779.741404109584"/>
    <n v="-41647.741404109584"/>
    <m/>
    <m/>
    <m/>
    <m/>
  </r>
  <r>
    <x v="58"/>
    <s v="FR-MIN-TAZAY"/>
    <s v="FJX"/>
    <s v="Scania 2022 Na LS"/>
    <n v="0"/>
    <x v="53"/>
    <n v="0"/>
    <n v="0"/>
    <n v="18400"/>
    <n v="7868"/>
    <n v="540.1114041095891"/>
    <n v="441"/>
    <n v="207.06"/>
    <s v=""/>
    <s v=""/>
    <n v="0"/>
    <n v="225"/>
    <n v="1628.96"/>
    <n v="225"/>
    <n v="0"/>
    <n v="0"/>
    <n v="6420"/>
    <n v="96.52"/>
    <n v="-996"/>
    <n v="35055.65140410958"/>
    <n v="-35055.65140410958"/>
    <n v="-42923.65140410958"/>
    <m/>
    <m/>
    <m/>
    <m/>
  </r>
  <r>
    <x v="59"/>
    <s v="FR-MIN-TAZAY"/>
    <s v="FJX"/>
    <s v="Scania 2024 Na LS"/>
    <n v="1604"/>
    <x v="54"/>
    <n v="195.04358999999999"/>
    <n v="1586.17641"/>
    <n v="18400"/>
    <n v="7163"/>
    <n v="540.221404109589"/>
    <n v="441"/>
    <n v="207.06"/>
    <n v="4134.1192815000004"/>
    <n v="2.32094815996901"/>
    <n v="1382"/>
    <n v="200"/>
    <n v="20.54"/>
    <n v="200"/>
    <n v="3.0976767989568903"/>
    <n v="2164"/>
    <n v="0"/>
    <n v="105.6"/>
    <n v="-996"/>
    <n v="33964.63836240855"/>
    <n v="-32378.46195240855"/>
    <n v="-39541.46195240855"/>
    <m/>
    <m/>
    <m/>
    <m/>
  </r>
  <r>
    <x v="60"/>
    <s v="FR-MIN-TAZAY"/>
    <s v="FJX"/>
    <s v="Scania 2024 Na LS"/>
    <n v="0"/>
    <x v="53"/>
    <n v="0"/>
    <n v="0"/>
    <n v="18400"/>
    <n v="7163"/>
    <n v="550.8614041095891"/>
    <n v="441"/>
    <n v="207.06"/>
    <s v=""/>
    <s v=""/>
    <n v="2707.9"/>
    <n v="275"/>
    <n v="0"/>
    <n v="275"/>
    <n v="0"/>
    <n v="0"/>
    <n v="0"/>
    <n v="16.2"/>
    <n v="-996"/>
    <n v="29040.02140410959"/>
    <n v="-29040.02140410959"/>
    <n v="-36203.02140410959"/>
    <m/>
    <m/>
    <m/>
    <m/>
  </r>
  <r>
    <x v="61"/>
    <s v="FR-MIN-TAZAY"/>
    <s v="FJX"/>
    <s v="Scania 2024 Na LS"/>
    <n v="2675"/>
    <x v="55"/>
    <n v="1584.135405"/>
    <n v="12882.854595000001"/>
    <n v="18400"/>
    <n v="7163"/>
    <n v="552.19140410958903"/>
    <n v="441"/>
    <n v="207.06"/>
    <n v="4869.0685354999996"/>
    <n v="0.33656403546971414"/>
    <n v="2144.59"/>
    <n v="350"/>
    <n v="65.28"/>
    <n v="350"/>
    <n v="5.1660133648439412"/>
    <n v="7157.380000000001"/>
    <n v="0"/>
    <n v="274.52999999999997"/>
    <n v="-996"/>
    <n v="40983.265952974434"/>
    <n v="-28100.411357974433"/>
    <n v="-35263.41135797443"/>
    <m/>
    <m/>
    <m/>
    <m/>
  </r>
  <r>
    <x v="62"/>
    <s v="FR-MIN-VALLOUREC"/>
    <s v="FJX"/>
    <s v="Scania 2022 Na LS"/>
    <n v="0"/>
    <x v="53"/>
    <n v="0"/>
    <n v="0"/>
    <n v="18400"/>
    <n v="7868"/>
    <n v="478.6"/>
    <n v="441"/>
    <n v="207.06"/>
    <s v=""/>
    <s v=""/>
    <n v="0"/>
    <n v="0"/>
    <n v="0"/>
    <n v="0"/>
    <n v="0"/>
    <n v="0"/>
    <n v="6420"/>
    <n v="0"/>
    <n v="-996"/>
    <n v="32818.659999999996"/>
    <n v="-32818.659999999996"/>
    <n v="-40686.659999999996"/>
    <m/>
    <m/>
    <m/>
    <m/>
  </r>
  <r>
    <x v="63"/>
    <s v="FR-MIN-VALLOUREC"/>
    <s v="FJX"/>
    <s v="Scania 2022 Na LS"/>
    <n v="0"/>
    <x v="53"/>
    <n v="0"/>
    <n v="0"/>
    <n v="18400"/>
    <n v="7868"/>
    <n v="548.86140410958899"/>
    <n v="441"/>
    <n v="207.06"/>
    <s v=""/>
    <s v=""/>
    <n v="0"/>
    <n v="0"/>
    <n v="0"/>
    <n v="0"/>
    <n v="0"/>
    <n v="0"/>
    <n v="6420"/>
    <n v="0"/>
    <n v="-996"/>
    <n v="32888.921404109591"/>
    <n v="-32888.921404109591"/>
    <n v="-40756.921404109591"/>
    <m/>
    <m/>
    <m/>
    <m/>
  </r>
  <r>
    <x v="64"/>
    <s v="FR-MIN-VALLOUREC"/>
    <s v="FJX"/>
    <s v="Scania 2024 Na LS"/>
    <n v="2206"/>
    <x v="56"/>
    <n v="1790.5538550000001"/>
    <n v="14561.536145"/>
    <n v="18400"/>
    <n v="7163"/>
    <n v="691.79140410958894"/>
    <n v="441"/>
    <n v="207.06"/>
    <n v="4172.6860825000003"/>
    <n v="0.25517753892621681"/>
    <n v="0"/>
    <n v="200"/>
    <n v="39.26"/>
    <n v="200"/>
    <n v="4.2602712085404617"/>
    <n v="2372"/>
    <n v="6420"/>
    <n v="1134.1199999999999"/>
    <n v="-996"/>
    <n v="40449.177757818121"/>
    <n v="-25887.641612818123"/>
    <n v="-33050.641612818123"/>
    <m/>
    <m/>
    <m/>
    <m/>
  </r>
  <r>
    <x v="65"/>
    <s v="FR-MIN-VALLOUREC"/>
    <s v="FJX"/>
    <s v="Scania 2024 Na LS"/>
    <n v="987"/>
    <x v="57"/>
    <n v="764.08224000000007"/>
    <n v="6213.8377600000013"/>
    <n v="18400"/>
    <n v="7163"/>
    <n v="691.57140410958903"/>
    <n v="441"/>
    <n v="207.06"/>
    <n v="2276.1051787500001"/>
    <n v="0.32618676894404058"/>
    <n v="0"/>
    <n v="360"/>
    <n v="148.16"/>
    <n v="360"/>
    <n v="1.9061140901312037"/>
    <n v="2268"/>
    <n v="6420"/>
    <n v="0"/>
    <n v="-996"/>
    <n v="37740.80269694973"/>
    <n v="-31526.964936949727"/>
    <n v="-38689.964936949727"/>
    <m/>
    <m/>
    <m/>
    <m/>
  </r>
  <r>
    <x v="66"/>
    <s v="FR_MIN_GERDAU"/>
    <s v="TORA"/>
    <s v="Scania 2024 Na LS"/>
    <n v="1799"/>
    <x v="53"/>
    <n v="0"/>
    <n v="0"/>
    <n v="9200"/>
    <n v="7163"/>
    <n v="61.081404109589037"/>
    <n v="441"/>
    <n v="207.06"/>
    <n v="3481.5951690000002"/>
    <s v=""/>
    <n v="2789.14"/>
    <n v="225"/>
    <n v="0"/>
    <n v="225"/>
    <n v="3.4742646891043925"/>
    <n v="2372"/>
    <n v="0"/>
    <n v="0"/>
    <n v="-996"/>
    <n v="25172.350837798691"/>
    <n v="-25172.350837798691"/>
    <n v="-32335.350837798691"/>
    <m/>
    <m/>
    <m/>
    <m/>
  </r>
  <r>
    <x v="67"/>
    <s v="FR_MIN_GERDAU"/>
    <s v="TORA"/>
    <s v="Scania 2024 Na LS"/>
    <n v="1372"/>
    <x v="53"/>
    <n v="0"/>
    <n v="0"/>
    <n v="9200"/>
    <n v="7163"/>
    <n v="61.081404109589037"/>
    <n v="441"/>
    <n v="207.06"/>
    <n v="5407.1110827499997"/>
    <s v=""/>
    <n v="2820.98"/>
    <n v="0"/>
    <n v="46.16"/>
    <n v="0"/>
    <n v="2.6496337706788364"/>
    <n v="4328"/>
    <n v="0"/>
    <n v="0"/>
    <n v="-996"/>
    <n v="28681.042120630264"/>
    <n v="-28681.042120630264"/>
    <n v="-35844.042120630264"/>
    <m/>
    <m/>
    <m/>
    <m/>
  </r>
  <r>
    <x v="68"/>
    <s v="FR_MIN_GERDAU"/>
    <s v="TORA"/>
    <s v="Scania 2023 Na LS"/>
    <n v="2582"/>
    <x v="53"/>
    <n v="0"/>
    <n v="0"/>
    <n v="9200"/>
    <n v="7163"/>
    <n v="61.081404109589037"/>
    <n v="441"/>
    <n v="207.06"/>
    <n v="7834.95660675"/>
    <s v=""/>
    <n v="2359.61"/>
    <n v="0"/>
    <n v="20.9"/>
    <n v="0"/>
    <n v="4.9864099095428243"/>
    <n v="6299.8"/>
    <n v="0"/>
    <n v="0"/>
    <n v="-996"/>
    <n v="32596.394420769131"/>
    <n v="-32596.394420769131"/>
    <n v="-39759.394420769131"/>
    <m/>
    <m/>
    <m/>
    <m/>
  </r>
  <r>
    <x v="69"/>
    <s v="FR_MIN_GERDAU"/>
    <s v="TORA"/>
    <s v="Scania 2024 Na LS"/>
    <n v="1219"/>
    <x v="53"/>
    <n v="0"/>
    <n v="0"/>
    <n v="9200"/>
    <n v="7163"/>
    <n v="61.081404109589037"/>
    <n v="441"/>
    <n v="207.06"/>
    <n v="1873.49235125"/>
    <s v=""/>
    <n v="1586.8999999999999"/>
    <n v="450"/>
    <n v="1.44"/>
    <n v="450"/>
    <n v="2.3541571184092578"/>
    <n v="2372"/>
    <n v="0"/>
    <n v="0"/>
    <n v="-996"/>
    <n v="22812.327912477995"/>
    <n v="-22812.327912477995"/>
    <n v="-29975.327912477995"/>
    <m/>
    <m/>
    <m/>
    <m/>
  </r>
  <r>
    <x v="70"/>
    <s v="FR_MIN_GERDAU"/>
    <s v="TORA"/>
    <s v="Scania 2024 Na LS"/>
    <n v="2141"/>
    <x v="53"/>
    <n v="0"/>
    <n v="0"/>
    <n v="9200"/>
    <n v="7163"/>
    <n v="61.081404109589037"/>
    <n v="441"/>
    <n v="207.06"/>
    <n v="4117.6699264999997"/>
    <s v=""/>
    <n v="2892.51"/>
    <n v="225"/>
    <n v="135.38"/>
    <n v="225"/>
    <n v="4.1347419118246274"/>
    <n v="2372"/>
    <n v="0"/>
    <n v="0"/>
    <n v="-996"/>
    <n v="26047.836072521412"/>
    <n v="-26047.836072521412"/>
    <n v="-33210.836072521415"/>
    <m/>
    <m/>
    <m/>
    <m/>
  </r>
  <r>
    <x v="71"/>
    <s v="FR_MIN_GERDAU"/>
    <s v="TORA"/>
    <s v="Scania 2024 Na LS"/>
    <n v="2277"/>
    <x v="53"/>
    <n v="0"/>
    <n v="0"/>
    <n v="9200"/>
    <n v="7163"/>
    <n v="61.081404109589037"/>
    <n v="441"/>
    <n v="207.06"/>
    <n v="7170.3531185000002"/>
    <s v=""/>
    <n v="2568.2200000000003"/>
    <n v="450"/>
    <n v="0.91"/>
    <n v="450"/>
    <n v="4.3973878249531415"/>
    <n v="218"/>
    <n v="0"/>
    <n v="0"/>
    <n v="-996"/>
    <n v="26938.021910434541"/>
    <n v="-26938.021910434541"/>
    <n v="-34101.021910434545"/>
    <m/>
    <m/>
    <m/>
    <m/>
  </r>
  <r>
    <x v="72"/>
    <s v="FR_MIN_GERDAU"/>
    <s v="TORA"/>
    <s v="Scania 2024 Na LS"/>
    <n v="1518"/>
    <x v="53"/>
    <n v="0"/>
    <n v="0"/>
    <n v="9200"/>
    <n v="7163"/>
    <n v="61.081404109589037"/>
    <n v="441"/>
    <n v="207.06"/>
    <n v="2460.5658675"/>
    <s v=""/>
    <n v="2361.5899999999997"/>
    <n v="225"/>
    <n v="19.63"/>
    <n v="225"/>
    <n v="2.9315918833020946"/>
    <n v="0"/>
    <n v="0"/>
    <n v="0"/>
    <n v="-996"/>
    <n v="21370.858863492893"/>
    <n v="-21370.858863492893"/>
    <n v="-28533.858863492893"/>
    <m/>
    <m/>
    <m/>
    <m/>
  </r>
  <r>
    <x v="73"/>
    <s v="FR_MIN_GERDAU"/>
    <s v="TORA"/>
    <s v="Scania 2023 Na LS"/>
    <n v="2160"/>
    <x v="53"/>
    <n v="0"/>
    <n v="0"/>
    <n v="9200"/>
    <n v="7163"/>
    <n v="61.081404109589037"/>
    <n v="441"/>
    <n v="207.06"/>
    <n v="5288.2496289999999"/>
    <s v=""/>
    <n v="3205.85"/>
    <n v="225"/>
    <n v="19.63"/>
    <n v="225"/>
    <n v="4.17143509086464"/>
    <n v="0"/>
    <n v="0"/>
    <n v="0"/>
    <n v="-996"/>
    <n v="25044.042468200452"/>
    <n v="-25044.042468200452"/>
    <n v="-32207.042468200452"/>
    <m/>
    <m/>
    <m/>
    <m/>
  </r>
  <r>
    <x v="74"/>
    <s v="FR_MIN_GERDAU"/>
    <s v="TORA"/>
    <s v="Scania 2024 Na LS"/>
    <n v="2068"/>
    <x v="53"/>
    <n v="0"/>
    <n v="0"/>
    <n v="9200"/>
    <n v="7163"/>
    <n v="61.081404109589037"/>
    <n v="441"/>
    <n v="207.06"/>
    <n v="3768.7355062500001"/>
    <s v=""/>
    <n v="2808.0099999999998"/>
    <n v="225"/>
    <n v="0"/>
    <n v="225"/>
    <n v="3.993762855512998"/>
    <n v="2372"/>
    <n v="0"/>
    <n v="0"/>
    <n v="-996"/>
    <n v="25478.880673215102"/>
    <n v="-25478.880673215102"/>
    <n v="-32641.880673215102"/>
    <m/>
    <m/>
    <m/>
    <m/>
  </r>
  <r>
    <x v="75"/>
    <s v="FR_MIN_GERDAU"/>
    <s v="TORA"/>
    <s v="Scania 2023 Na LS"/>
    <n v="1664"/>
    <x v="53"/>
    <n v="0"/>
    <n v="0"/>
    <n v="9200"/>
    <n v="7163"/>
    <n v="61.081404109589037"/>
    <n v="441"/>
    <n v="207.06"/>
    <n v="5308.3356787499997"/>
    <s v=""/>
    <n v="2555.1999999999998"/>
    <n v="225"/>
    <n v="0"/>
    <n v="225"/>
    <n v="3.2135499959253524"/>
    <n v="2590"/>
    <n v="0"/>
    <n v="0"/>
    <n v="-996"/>
    <n v="26982.890632855509"/>
    <n v="-26982.890632855509"/>
    <n v="-34145.890632855509"/>
    <m/>
    <m/>
    <m/>
    <m/>
  </r>
  <r>
    <x v="76"/>
    <s v="FR_MIN_GERDAU"/>
    <s v="TORA"/>
    <s v="Scania 2024 Na LS"/>
    <n v="2210"/>
    <x v="53"/>
    <n v="0"/>
    <n v="0"/>
    <n v="9200"/>
    <n v="7163"/>
    <n v="61.081404109589037"/>
    <n v="441"/>
    <n v="207.06"/>
    <n v="8295.2610877499992"/>
    <s v=""/>
    <n v="2926.24"/>
    <n v="0"/>
    <n v="2.27"/>
    <n v="0"/>
    <n v="4.267996088338359"/>
    <n v="5722"/>
    <n v="0"/>
    <n v="0"/>
    <n v="-996"/>
    <n v="33026.180487947924"/>
    <n v="-33026.180487947924"/>
    <n v="-40189.180487947924"/>
    <m/>
    <m/>
    <m/>
    <m/>
  </r>
  <r>
    <x v="77"/>
    <s v="FR_MIN_GERDAU"/>
    <s v="TORA"/>
    <s v="Scania 2024 Na LS"/>
    <n v="2516"/>
    <x v="53"/>
    <n v="0"/>
    <n v="0"/>
    <n v="9200"/>
    <n v="7163"/>
    <n v="61.081404109589037"/>
    <n v="441"/>
    <n v="207.06"/>
    <n v="6574.0342719999999"/>
    <s v=""/>
    <n v="3014.4199999999996"/>
    <n v="0"/>
    <n v="20.54"/>
    <n v="0"/>
    <n v="4.8589493928775163"/>
    <n v="3350"/>
    <n v="0"/>
    <n v="0"/>
    <n v="-996"/>
    <n v="29039.994625502466"/>
    <n v="-29039.994625502466"/>
    <n v="-36202.99462550247"/>
    <m/>
    <m/>
    <m/>
    <m/>
  </r>
  <r>
    <x v="78"/>
    <s v="FR_MIN_GERDAU"/>
    <s v="TORA"/>
    <s v="Scania 2024 Na LS"/>
    <n v="2146"/>
    <x v="53"/>
    <n v="0"/>
    <n v="0"/>
    <n v="9200"/>
    <n v="7163"/>
    <n v="61.081404109589037"/>
    <n v="441"/>
    <n v="207.06"/>
    <n v="5150.6894204999999"/>
    <s v=""/>
    <n v="0"/>
    <n v="0"/>
    <n v="0"/>
    <n v="0"/>
    <n v="4.1443980115719992"/>
    <n v="0"/>
    <n v="0"/>
    <n v="0"/>
    <n v="-996"/>
    <n v="21230.97522262116"/>
    <n v="-21230.97522262116"/>
    <n v="-28393.97522262116"/>
    <m/>
    <m/>
    <m/>
    <m/>
  </r>
  <r>
    <x v="79"/>
    <s v="FR_MIN_GERDAU"/>
    <s v="TORA"/>
    <s v="Scania 2023 Na LS"/>
    <n v="2057"/>
    <x v="53"/>
    <n v="0"/>
    <n v="0"/>
    <n v="9200"/>
    <n v="7163"/>
    <n v="61.081404109589037"/>
    <n v="441"/>
    <n v="207.06"/>
    <n v="5862.2231167500004"/>
    <s v=""/>
    <n v="3062.96"/>
    <n v="0"/>
    <n v="0"/>
    <n v="0"/>
    <n v="3.9725194360687803"/>
    <n v="2372"/>
    <n v="0"/>
    <n v="0"/>
    <n v="-996"/>
    <n v="27377.297040295656"/>
    <n v="-27377.297040295656"/>
    <n v="-34540.297040295656"/>
    <m/>
    <m/>
    <m/>
    <m/>
  </r>
  <r>
    <x v="80"/>
    <s v="FR_MIN_GERDAU"/>
    <s v="TORA"/>
    <s v="Scania 2024 Na LS"/>
    <n v="1828"/>
    <x v="53"/>
    <n v="0"/>
    <n v="0"/>
    <n v="9200"/>
    <n v="7163"/>
    <n v="61.081404109589037"/>
    <n v="441"/>
    <n v="207.06"/>
    <n v="4138.7667197500004"/>
    <s v=""/>
    <n v="2480.5"/>
    <n v="225"/>
    <n v="0"/>
    <n v="225"/>
    <n v="3.5302700676391492"/>
    <n v="2372"/>
    <n v="0"/>
    <n v="0"/>
    <n v="-996"/>
    <n v="25520.93839392723"/>
    <n v="-25520.93839392723"/>
    <n v="-32683.93839392723"/>
    <m/>
    <m/>
    <m/>
    <m/>
  </r>
  <r>
    <x v="81"/>
    <s v="FR_MIN_GERDAU"/>
    <s v="TORA"/>
    <s v="Scania 2024 Na LS"/>
    <n v="1318"/>
    <x v="53"/>
    <n v="0"/>
    <n v="0"/>
    <n v="9200"/>
    <n v="7163"/>
    <n v="61.081404109589037"/>
    <n v="441"/>
    <n v="207.06"/>
    <n v="3660.9625032499998"/>
    <s v=""/>
    <n v="2348.27"/>
    <n v="375"/>
    <n v="191.88"/>
    <n v="375"/>
    <n v="2.5453478934072202"/>
    <n v="0"/>
    <n v="0"/>
    <n v="0"/>
    <n v="-996"/>
    <n v="23029.799255252998"/>
    <n v="-23029.799255252998"/>
    <n v="-30192.799255252998"/>
    <m/>
    <m/>
    <m/>
    <m/>
  </r>
  <r>
    <x v="82"/>
    <s v="FR_MIN_GERDAU"/>
    <s v="TORA"/>
    <s v="Scania 2024 Na LS"/>
    <n v="1478"/>
    <x v="53"/>
    <n v="0"/>
    <n v="0"/>
    <n v="9200"/>
    <n v="7163"/>
    <n v="61.081404109589037"/>
    <n v="441"/>
    <n v="207.06"/>
    <n v="4097.4451472500004"/>
    <s v=""/>
    <n v="2001.26"/>
    <n v="225"/>
    <n v="19.63"/>
    <n v="225"/>
    <n v="2.8543430853231198"/>
    <n v="7713.7999999999993"/>
    <n v="0"/>
    <n v="0"/>
    <n v="-996"/>
    <n v="30361.130894444912"/>
    <n v="-30361.130894444912"/>
    <n v="-37524.130894444912"/>
    <m/>
    <m/>
    <m/>
    <m/>
  </r>
  <r>
    <x v="83"/>
    <s v="FR_MIN_GERDAU"/>
    <s v="TORA"/>
    <s v="Scania 2024 Na LS"/>
    <n v="0"/>
    <x v="53"/>
    <n v="0"/>
    <n v="0"/>
    <n v="9200"/>
    <n v="7163"/>
    <n v="61.081404109589037"/>
    <n v="441"/>
    <n v="207.06"/>
    <s v=""/>
    <s v=""/>
    <n v="0"/>
    <n v="0"/>
    <n v="0"/>
    <n v="0"/>
    <n v="0"/>
    <n v="0"/>
    <n v="0"/>
    <n v="0"/>
    <n v="-996"/>
    <n v="16076.141404109589"/>
    <n v="-16076.141404109589"/>
    <n v="-23239.141404109589"/>
    <m/>
    <m/>
    <m/>
    <m/>
  </r>
  <r>
    <x v="84"/>
    <s v="FR_MIN_GERDAU"/>
    <s v="TORA"/>
    <s v="Scania 2024 Na LS"/>
    <n v="2064"/>
    <x v="53"/>
    <n v="0"/>
    <n v="0"/>
    <n v="9200"/>
    <n v="7163"/>
    <n v="61.081404109589037"/>
    <n v="441"/>
    <n v="207.06"/>
    <n v="4911.2323942499997"/>
    <s v=""/>
    <n v="3035.0800000000004"/>
    <n v="0"/>
    <n v="172.56"/>
    <n v="0"/>
    <n v="3.9860379757151008"/>
    <n v="0"/>
    <n v="0"/>
    <n v="0"/>
    <n v="-996"/>
    <n v="24198.999836335304"/>
    <n v="-24198.999836335304"/>
    <n v="-31361.999836335304"/>
    <m/>
    <m/>
    <m/>
    <m/>
  </r>
  <r>
    <x v="85"/>
    <s v="FR_MIN_GERDAU"/>
    <s v="TORA"/>
    <s v="Scania 2022 Na LS"/>
    <n v="0"/>
    <x v="53"/>
    <n v="0"/>
    <n v="0"/>
    <n v="9200"/>
    <n v="7868"/>
    <n v="61.081404109589037"/>
    <n v="441"/>
    <n v="207.06"/>
    <s v=""/>
    <s v=""/>
    <n v="3038.48"/>
    <n v="225"/>
    <n v="0.91"/>
    <n v="225"/>
    <n v="0"/>
    <n v="1186"/>
    <n v="0"/>
    <n v="0"/>
    <n v="-996"/>
    <n v="21456.531404109588"/>
    <n v="-21456.531404109588"/>
    <n v="-29324.531404109588"/>
    <m/>
    <m/>
    <m/>
    <m/>
  </r>
  <r>
    <x v="86"/>
    <s v="FR_MIN_GERDAU"/>
    <s v="TORA"/>
    <s v="Scania 2022 Na LS"/>
    <n v="0"/>
    <x v="53"/>
    <n v="0"/>
    <n v="0"/>
    <n v="9200"/>
    <n v="7868"/>
    <n v="61.081404109589037"/>
    <n v="441"/>
    <n v="207.06"/>
    <s v=""/>
    <s v=""/>
    <n v="2639.12"/>
    <n v="225"/>
    <n v="0"/>
    <n v="225"/>
    <n v="0"/>
    <n v="0"/>
    <n v="0"/>
    <n v="0"/>
    <n v="-996"/>
    <n v="19870.261404109588"/>
    <n v="-19870.261404109588"/>
    <n v="-27738.261404109588"/>
    <m/>
    <m/>
    <m/>
    <m/>
  </r>
  <r>
    <x v="87"/>
    <s v="FR_MIN_GERDAU"/>
    <s v="TORA"/>
    <s v="Scania 2022 Na LS"/>
    <n v="0"/>
    <x v="53"/>
    <n v="0"/>
    <n v="0"/>
    <n v="9200"/>
    <n v="7868"/>
    <n v="61.081404109589037"/>
    <n v="441"/>
    <n v="207.06"/>
    <s v=""/>
    <s v=""/>
    <n v="3522.34"/>
    <n v="450"/>
    <n v="58.89"/>
    <n v="450"/>
    <n v="0"/>
    <n v="3365.68"/>
    <n v="0"/>
    <n v="0"/>
    <n v="-996"/>
    <n v="24628.051404109588"/>
    <n v="-24628.051404109588"/>
    <n v="-32496.051404109588"/>
    <m/>
    <m/>
    <m/>
    <m/>
  </r>
  <r>
    <x v="88"/>
    <s v="FR_MIN_SPOT"/>
    <s v="TORA"/>
    <s v="Scania 2022 Na LS"/>
    <n v="1"/>
    <x v="53"/>
    <n v="0"/>
    <n v="0"/>
    <n v="0"/>
    <n v="7868"/>
    <n v="61.081404109589037"/>
    <n v="441"/>
    <n v="207.06"/>
    <s v=""/>
    <s v=""/>
    <n v="2095.88"/>
    <n v="225"/>
    <n v="0"/>
    <n v="225"/>
    <n v="1.55656307502001E-2"/>
    <n v="0"/>
    <n v="0"/>
    <n v="0"/>
    <n v="-996"/>
    <n v="10127.036969740338"/>
    <n v="-10127.036969740338"/>
    <n v="-17995.036969740337"/>
    <m/>
    <m/>
    <m/>
    <m/>
  </r>
  <r>
    <x v="89"/>
    <s v="FR_MIN_SPOT"/>
    <s v="TORA"/>
    <s v="Scania 2022 Na LS"/>
    <n v="0"/>
    <x v="53"/>
    <n v="0"/>
    <n v="0"/>
    <n v="0"/>
    <n v="7868"/>
    <n v="61.081404109589037"/>
    <n v="441"/>
    <n v="207.06"/>
    <s v=""/>
    <s v=""/>
    <n v="2533.33"/>
    <n v="225"/>
    <n v="44.26"/>
    <n v="225"/>
    <n v="0"/>
    <n v="6299.8"/>
    <n v="0"/>
    <n v="0"/>
    <n v="-996"/>
    <n v="16908.531404109588"/>
    <n v="-16908.531404109588"/>
    <n v="-24776.531404109588"/>
    <m/>
    <m/>
    <m/>
    <m/>
  </r>
  <r>
    <x v="90"/>
    <s v="FR_MIN_SPOT"/>
    <s v="TORA"/>
    <s v="Scania 2022 Na LS"/>
    <n v="312"/>
    <x v="58"/>
    <n v="248.52010500000003"/>
    <n v="2021.0698950000001"/>
    <n v="0"/>
    <n v="7868"/>
    <n v="61.081404109589037"/>
    <n v="441"/>
    <n v="207.06"/>
    <s v=""/>
    <s v=""/>
    <n v="2095.88"/>
    <n v="225"/>
    <n v="0"/>
    <n v="225"/>
    <n v="4.8564767940624316"/>
    <n v="3365.68"/>
    <n v="0"/>
    <n v="0"/>
    <n v="-996"/>
    <n v="13497.557880903651"/>
    <n v="-11476.48798590365"/>
    <n v="-19344.487985903652"/>
    <m/>
    <m/>
    <m/>
    <m/>
  </r>
  <r>
    <x v="91"/>
    <s v="FR_MIN_SPOT"/>
    <s v="TORA"/>
    <s v="Scania 2022 Na LS"/>
    <n v="0"/>
    <x v="53"/>
    <n v="0"/>
    <n v="0"/>
    <n v="0"/>
    <n v="7868"/>
    <n v="61.081404109589037"/>
    <n v="441"/>
    <n v="207.06"/>
    <s v=""/>
    <s v=""/>
    <n v="3462.85"/>
    <n v="225"/>
    <n v="0"/>
    <n v="225"/>
    <n v="0"/>
    <n v="0"/>
    <n v="0"/>
    <n v="0"/>
    <n v="-996"/>
    <n v="11493.991404109589"/>
    <n v="-11493.991404109589"/>
    <n v="-19361.991404109591"/>
    <m/>
    <m/>
    <m/>
    <m/>
  </r>
  <r>
    <x v="92"/>
    <s v="FR_MIN_SPOT"/>
    <s v="TORA"/>
    <s v="Scania 2022 Na LS"/>
    <n v="473"/>
    <x v="53"/>
    <n v="0"/>
    <n v="0"/>
    <n v="0"/>
    <n v="7868"/>
    <n v="61.081404109589037"/>
    <n v="441"/>
    <n v="207.06"/>
    <s v=""/>
    <s v=""/>
    <n v="0"/>
    <n v="0"/>
    <n v="0"/>
    <n v="0"/>
    <n v="7.3625433448446476"/>
    <n v="0"/>
    <n v="0"/>
    <n v="0"/>
    <n v="-996"/>
    <n v="7588.5039474544346"/>
    <n v="-7588.5039474544346"/>
    <n v="-15456.503947454436"/>
    <m/>
    <m/>
    <m/>
    <m/>
  </r>
  <r>
    <x v="93"/>
    <s v="FR_MIN_SPOT"/>
    <s v="TORA"/>
    <s v="Scania 2022 Na LS"/>
    <n v="0"/>
    <x v="53"/>
    <n v="0"/>
    <n v="0"/>
    <n v="0"/>
    <n v="7868"/>
    <n v="61.081404109589037"/>
    <n v="441"/>
    <n v="207.06"/>
    <s v=""/>
    <s v=""/>
    <n v="2533.33"/>
    <n v="225"/>
    <n v="0"/>
    <n v="225"/>
    <n v="0"/>
    <n v="2372"/>
    <n v="0"/>
    <n v="0"/>
    <n v="-996"/>
    <n v="12936.471404109589"/>
    <n v="-12936.471404109589"/>
    <n v="-20804.471404109587"/>
    <m/>
    <m/>
    <m/>
    <m/>
  </r>
  <r>
    <x v="94"/>
    <s v="FR_MIN_SPOT"/>
    <s v="TORA"/>
    <s v="Scania 2022 Na LS"/>
    <n v="0"/>
    <x v="53"/>
    <n v="0"/>
    <n v="0"/>
    <n v="0"/>
    <n v="7868"/>
    <n v="61.081404109589037"/>
    <n v="441"/>
    <n v="207.06"/>
    <s v=""/>
    <s v=""/>
    <n v="2095.88"/>
    <n v="0"/>
    <n v="0"/>
    <n v="0"/>
    <n v="0"/>
    <n v="3350"/>
    <n v="0"/>
    <n v="0"/>
    <n v="-996"/>
    <n v="13027.02140410959"/>
    <n v="-13027.02140410959"/>
    <n v="-20895.02140410959"/>
    <m/>
    <m/>
    <m/>
    <m/>
  </r>
  <r>
    <x v="95"/>
    <s v="FR_MIN_SPOT"/>
    <s v="TORA"/>
    <s v="Scania 2023 Na LS"/>
    <n v="672"/>
    <x v="53"/>
    <n v="0"/>
    <n v="0"/>
    <n v="0"/>
    <n v="7163"/>
    <n v="61.081404109589037"/>
    <n v="441"/>
    <n v="207.06"/>
    <n v="3011.7084432500001"/>
    <s v=""/>
    <n v="2900.57"/>
    <n v="0"/>
    <n v="0"/>
    <n v="0"/>
    <n v="1.2977798060467769"/>
    <n v="7271.8"/>
    <n v="0"/>
    <n v="0"/>
    <n v="-996"/>
    <n v="20061.517627165638"/>
    <n v="-20061.517627165638"/>
    <n v="-27224.517627165638"/>
    <m/>
    <m/>
    <m/>
    <m/>
  </r>
  <r>
    <x v="96"/>
    <s v="FR_MIN_SPOT"/>
    <s v="TORA"/>
    <s v="Scania 2023 Na LS"/>
    <n v="148"/>
    <x v="53"/>
    <n v="0"/>
    <n v="0"/>
    <n v="0"/>
    <n v="7163"/>
    <n v="61.081404109589037"/>
    <n v="441"/>
    <n v="207.06"/>
    <s v=""/>
    <s v=""/>
    <n v="1628.6499999999999"/>
    <n v="225"/>
    <n v="0"/>
    <n v="225"/>
    <n v="0.28582055252220684"/>
    <n v="0"/>
    <n v="0"/>
    <n v="0"/>
    <n v="-996"/>
    <n v="8955.0772246621109"/>
    <n v="-8955.0772246621109"/>
    <n v="-16118.077224662111"/>
    <m/>
    <m/>
    <m/>
    <m/>
  </r>
  <r>
    <x v="97"/>
    <s v="FR_MIN_SPOT"/>
    <s v="TORA"/>
    <s v="Scania 2023 Na LS"/>
    <n v="729"/>
    <x v="53"/>
    <n v="0"/>
    <n v="0"/>
    <n v="0"/>
    <n v="7163"/>
    <n v="0"/>
    <n v="441"/>
    <n v="207.06"/>
    <n v="2097.3224902500001"/>
    <s v=""/>
    <n v="1501.9099999999999"/>
    <n v="0"/>
    <n v="0"/>
    <n v="0"/>
    <n v="1.407859343166816"/>
    <n v="0"/>
    <n v="0"/>
    <n v="0"/>
    <n v="-996"/>
    <n v="10415.700349593168"/>
    <n v="-10415.700349593168"/>
    <n v="-17578.700349593168"/>
    <m/>
    <m/>
    <m/>
    <m/>
  </r>
  <r>
    <x v="98"/>
    <s v="FR_MIN_SPOT"/>
    <s v="TORA"/>
    <s v="Scania 2023 Na LS"/>
    <n v="107"/>
    <x v="53"/>
    <n v="0"/>
    <n v="0"/>
    <n v="0"/>
    <n v="7163"/>
    <n v="61.081404109589037"/>
    <n v="441"/>
    <n v="207.06"/>
    <s v=""/>
    <s v=""/>
    <n v="3768.33"/>
    <n v="225"/>
    <n v="0.91"/>
    <n v="225"/>
    <n v="0.20664053459375764"/>
    <n v="2858"/>
    <n v="0"/>
    <n v="0"/>
    <n v="-996"/>
    <n v="13953.588044644182"/>
    <n v="-13953.588044644182"/>
    <n v="-21116.588044644181"/>
    <m/>
    <m/>
    <m/>
    <m/>
  </r>
  <r>
    <x v="99"/>
    <s v="FR_MIN_SPOT"/>
    <s v="TORA"/>
    <s v="Scania 2023 Na LS"/>
    <n v="628"/>
    <x v="53"/>
    <n v="0"/>
    <n v="0"/>
    <n v="0"/>
    <n v="7163"/>
    <n v="61.081404109589037"/>
    <n v="441"/>
    <n v="207.06"/>
    <n v="2540.8704294999998"/>
    <s v=""/>
    <n v="3260.55"/>
    <n v="0"/>
    <n v="0"/>
    <n v="0"/>
    <n v="1.2128061282699047"/>
    <n v="0"/>
    <n v="0"/>
    <n v="0"/>
    <n v="-996"/>
    <n v="12678.774639737858"/>
    <n v="-12678.774639737858"/>
    <n v="-19841.774639737858"/>
    <m/>
    <m/>
    <m/>
    <m/>
  </r>
  <r>
    <x v="100"/>
    <s v="FR_MIN_SPOT"/>
    <s v="TORA"/>
    <s v="Scania 2023 Na LS"/>
    <n v="634"/>
    <x v="53"/>
    <n v="0"/>
    <n v="0"/>
    <n v="0"/>
    <n v="7163"/>
    <n v="61.081404109589037"/>
    <n v="441"/>
    <n v="207.06"/>
    <n v="2333.2716420000002"/>
    <s v=""/>
    <n v="2446.3799999999997"/>
    <n v="0"/>
    <n v="474.77"/>
    <n v="0"/>
    <n v="1.2243934479667509"/>
    <n v="0"/>
    <n v="0"/>
    <n v="0"/>
    <n v="-996"/>
    <n v="12131.787439557555"/>
    <n v="-12131.787439557555"/>
    <n v="-19294.787439557556"/>
    <m/>
    <m/>
    <m/>
    <m/>
  </r>
  <r>
    <x v="101"/>
    <s v="FR_MIN_SPOT"/>
    <s v="TORA"/>
    <s v="Scania 2023 Na LS"/>
    <n v="728"/>
    <x v="53"/>
    <n v="0"/>
    <n v="0"/>
    <n v="0"/>
    <n v="7163"/>
    <n v="392.15140410958901"/>
    <n v="441"/>
    <n v="207.06"/>
    <s v=""/>
    <s v=""/>
    <n v="2535.0800000000004"/>
    <n v="0"/>
    <n v="19.63"/>
    <n v="0"/>
    <n v="1.4059281232173417"/>
    <n v="0"/>
    <n v="0"/>
    <n v="0"/>
    <n v="-996"/>
    <n v="9763.3273322328059"/>
    <n v="-9763.3273322328059"/>
    <n v="-16926.327332232806"/>
    <m/>
    <m/>
    <m/>
    <m/>
  </r>
  <r>
    <x v="102"/>
    <s v="FR_MIN_SPOT"/>
    <s v="TORA"/>
    <s v="Scania 2022 Na LS"/>
    <n v="299"/>
    <x v="53"/>
    <n v="0"/>
    <n v="0"/>
    <n v="0"/>
    <n v="7868"/>
    <n v="61.081404109589037"/>
    <n v="441"/>
    <n v="207.06"/>
    <n v="2577.3364695"/>
    <s v=""/>
    <n v="2825.2400000000002"/>
    <n v="0"/>
    <n v="19.63"/>
    <n v="0"/>
    <n v="4.65412359430983"/>
    <n v="2372"/>
    <n v="0"/>
    <n v="0"/>
    <n v="-996"/>
    <n v="15380.001997203899"/>
    <n v="-15380.001997203899"/>
    <n v="-23248.001997203901"/>
    <m/>
    <m/>
    <m/>
    <m/>
  </r>
  <r>
    <x v="103"/>
    <s v="FR_MIN_SPOT"/>
    <s v="TORA"/>
    <s v="Scania 2023 Na LS"/>
    <n v="1730"/>
    <x v="53"/>
    <n v="0"/>
    <n v="0"/>
    <n v="0"/>
    <n v="7163"/>
    <n v="61.081404109589037"/>
    <n v="441"/>
    <n v="207.06"/>
    <n v="5666.2776072500001"/>
    <s v=""/>
    <n v="3325.21"/>
    <n v="225"/>
    <n v="1.82"/>
    <n v="225"/>
    <n v="3.3410105125906608"/>
    <n v="7271.8"/>
    <n v="0"/>
    <n v="0"/>
    <n v="-996"/>
    <n v="23594.59002187218"/>
    <n v="-23594.59002187218"/>
    <n v="-30757.59002187218"/>
    <m/>
    <m/>
    <m/>
    <m/>
  </r>
  <r>
    <x v="104"/>
    <s v="FR_MIN_SPOT"/>
    <s v="TORA"/>
    <s v="Scania 2023 Na LS"/>
    <n v="1692"/>
    <x v="53"/>
    <n v="0"/>
    <n v="0"/>
    <n v="0"/>
    <n v="7163"/>
    <n v="61.081404109589037"/>
    <n v="441"/>
    <n v="207.06"/>
    <n v="2092.8732369999998"/>
    <s v=""/>
    <n v="2354.4500000000003"/>
    <n v="0"/>
    <n v="286.64"/>
    <n v="0"/>
    <n v="3.267624154510635"/>
    <n v="1956"/>
    <n v="0"/>
    <n v="0"/>
    <n v="-996"/>
    <n v="13569.372265264099"/>
    <n v="-13569.372265264099"/>
    <n v="-20732.372265264101"/>
    <m/>
    <m/>
    <m/>
    <m/>
  </r>
  <r>
    <x v="105"/>
    <s v="FR_MIN_SPOT"/>
    <s v="TORA"/>
    <s v="Scania 2023 Na LS"/>
    <n v="50"/>
    <x v="53"/>
    <n v="0"/>
    <n v="0"/>
    <n v="0"/>
    <n v="7163"/>
    <n v="61.081404109589037"/>
    <n v="441"/>
    <n v="207.06"/>
    <s v=""/>
    <s v=""/>
    <n v="2207.2599999999998"/>
    <n v="225"/>
    <n v="39.26"/>
    <n v="225"/>
    <n v="9.6560997473718532E-2"/>
    <n v="3344"/>
    <n v="0"/>
    <n v="0"/>
    <n v="-996"/>
    <n v="12916.757965107063"/>
    <n v="-12916.757965107063"/>
    <n v="-20079.757965107063"/>
    <m/>
    <m/>
    <m/>
    <m/>
  </r>
  <r>
    <x v="106"/>
    <s v="FR_MIN_SPOT"/>
    <s v="TORA"/>
    <s v="Scania 2022 Na LS"/>
    <n v="429"/>
    <x v="53"/>
    <n v="0"/>
    <n v="0"/>
    <n v="0"/>
    <n v="7868"/>
    <n v="61.081404109589037"/>
    <n v="441"/>
    <n v="207.06"/>
    <n v="1779.1562912500001"/>
    <s v=""/>
    <n v="4227.46"/>
    <n v="0"/>
    <n v="0"/>
    <n v="0"/>
    <n v="6.6776555918358431"/>
    <n v="0"/>
    <n v="0"/>
    <n v="0"/>
    <n v="-996"/>
    <n v="13594.435350951424"/>
    <n v="-13594.435350951424"/>
    <n v="-21462.435350951426"/>
    <m/>
    <m/>
    <m/>
    <m/>
  </r>
  <r>
    <x v="107"/>
    <s v="FR_MIN_SPOT"/>
    <s v="TORA"/>
    <s v="Scania 2022 Na LS"/>
    <n v="0"/>
    <x v="53"/>
    <n v="0"/>
    <n v="0"/>
    <n v="0"/>
    <n v="7868"/>
    <n v="61.081404109589037"/>
    <n v="441"/>
    <n v="207.06"/>
    <s v=""/>
    <s v=""/>
    <n v="3159.57"/>
    <n v="225"/>
    <n v="0"/>
    <n v="225"/>
    <n v="0"/>
    <n v="0"/>
    <n v="0"/>
    <n v="0"/>
    <n v="-996"/>
    <n v="11190.711404109588"/>
    <n v="-11190.711404109588"/>
    <n v="-19058.711404109588"/>
    <m/>
    <m/>
    <m/>
    <m/>
  </r>
  <r>
    <x v="108"/>
    <s v="FR_MIN_SPOT"/>
    <s v="TORA"/>
    <s v="Scania 2022 Na LS"/>
    <n v="0"/>
    <x v="53"/>
    <n v="0"/>
    <n v="0"/>
    <n v="0"/>
    <n v="7868"/>
    <n v="61.081404109589037"/>
    <n v="441"/>
    <n v="207.06"/>
    <s v=""/>
    <s v=""/>
    <n v="3548.1899999999996"/>
    <n v="0"/>
    <n v="19.63"/>
    <n v="0"/>
    <n v="0"/>
    <n v="2372"/>
    <n v="0"/>
    <n v="0"/>
    <n v="-996"/>
    <n v="13520.961404109588"/>
    <n v="-13520.961404109588"/>
    <n v="-21388.961404109588"/>
    <m/>
    <m/>
    <m/>
    <m/>
  </r>
  <r>
    <x v="109"/>
    <s v="FR_MIN_SPOT"/>
    <s v="TORA"/>
    <s v="Scania 2022 Na LS"/>
    <n v="1768"/>
    <x v="53"/>
    <n v="0"/>
    <n v="0"/>
    <n v="0"/>
    <n v="7868"/>
    <n v="61.081404109589037"/>
    <n v="441"/>
    <n v="207.06"/>
    <n v="5914.4052272500003"/>
    <s v=""/>
    <n v="4315.7800000000007"/>
    <n v="225"/>
    <n v="5.0999999999999996"/>
    <n v="225"/>
    <n v="27.520035166353779"/>
    <n v="3350"/>
    <n v="0"/>
    <n v="0"/>
    <n v="-996"/>
    <n v="21643.946666525942"/>
    <n v="-21643.946666525942"/>
    <n v="-29511.946666525942"/>
    <m/>
    <m/>
    <m/>
    <m/>
  </r>
  <r>
    <x v="110"/>
    <s v="FR_MIN_SPOT"/>
    <s v="TORA"/>
    <s v="Scania 2022 Na LS"/>
    <n v="1"/>
    <x v="53"/>
    <n v="0"/>
    <n v="0"/>
    <n v="0"/>
    <n v="7868"/>
    <n v="61.081404109589037"/>
    <n v="441"/>
    <n v="207.06"/>
    <s v=""/>
    <s v=""/>
    <n v="4707.9799999999996"/>
    <n v="0"/>
    <n v="21.45"/>
    <n v="0"/>
    <n v="1.55656307502001E-2"/>
    <n v="0"/>
    <n v="0"/>
    <n v="0"/>
    <n v="-996"/>
    <n v="12310.58696974034"/>
    <n v="-12310.58696974034"/>
    <n v="-20178.58696974034"/>
    <m/>
    <m/>
    <m/>
    <m/>
  </r>
  <r>
    <x v="111"/>
    <s v="FR_MIN_SPOT"/>
    <s v="TORA"/>
    <s v="Scania 2022 Na LS"/>
    <n v="970"/>
    <x v="53"/>
    <n v="0"/>
    <n v="0"/>
    <n v="0"/>
    <n v="7868"/>
    <n v="61.081404109589037"/>
    <n v="441"/>
    <n v="207.06"/>
    <n v="3824.9011352500002"/>
    <s v=""/>
    <n v="4784.49"/>
    <n v="225"/>
    <n v="0"/>
    <n v="225"/>
    <n v="15.098661827694098"/>
    <n v="2372"/>
    <n v="0"/>
    <n v="0"/>
    <n v="-996"/>
    <n v="19027.63120118728"/>
    <n v="-19027.63120118728"/>
    <n v="-26895.63120118728"/>
    <m/>
    <m/>
    <m/>
    <m/>
  </r>
  <r>
    <x v="112"/>
    <s v="FR_MIN_SPOT"/>
    <s v="TORA"/>
    <s v="Scania 2022 Na LS"/>
    <n v="389"/>
    <x v="53"/>
    <n v="0"/>
    <n v="0"/>
    <n v="0"/>
    <n v="7868"/>
    <n v="61.081404109589037"/>
    <n v="441"/>
    <n v="207.06"/>
    <n v="1869.320557"/>
    <s v=""/>
    <n v="3025.42"/>
    <n v="225"/>
    <n v="0"/>
    <n v="225"/>
    <n v="6.0550303618278392"/>
    <n v="0"/>
    <n v="0"/>
    <n v="0"/>
    <n v="-996"/>
    <n v="12931.936991471415"/>
    <n v="-12931.936991471415"/>
    <n v="-20799.936991471415"/>
    <m/>
    <m/>
    <m/>
    <m/>
  </r>
  <r>
    <x v="113"/>
    <s v="FR_MIN_SPOT"/>
    <s v="TORA"/>
    <s v="Scania 2022 Na LS"/>
    <n v="0"/>
    <x v="53"/>
    <n v="0"/>
    <n v="0"/>
    <n v="0"/>
    <n v="7868"/>
    <n v="61.081404109589037"/>
    <n v="441"/>
    <n v="207.06"/>
    <s v=""/>
    <s v=""/>
    <n v="3794.4300000000003"/>
    <n v="225"/>
    <n v="0"/>
    <n v="225"/>
    <n v="0"/>
    <n v="2372"/>
    <n v="0"/>
    <n v="0"/>
    <n v="-996"/>
    <n v="14197.571404109589"/>
    <n v="-14197.571404109589"/>
    <n v="-22065.571404109589"/>
    <m/>
    <m/>
    <m/>
    <m/>
  </r>
  <r>
    <x v="114"/>
    <s v="FR_MIN_SPOT"/>
    <s v="TORA"/>
    <s v="Scania 2022 Na LS"/>
    <n v="116"/>
    <x v="53"/>
    <n v="0"/>
    <n v="0"/>
    <n v="0"/>
    <n v="7868"/>
    <n v="61.081404109589037"/>
    <n v="441"/>
    <n v="207.06"/>
    <s v=""/>
    <s v=""/>
    <n v="3175.8"/>
    <n v="0"/>
    <n v="1647.63"/>
    <n v="0"/>
    <n v="1.8056131670232116"/>
    <n v="3365.68"/>
    <n v="0"/>
    <n v="0"/>
    <n v="-996"/>
    <n v="15772.057017276611"/>
    <n v="-15772.057017276611"/>
    <n v="-23640.057017276609"/>
    <m/>
    <m/>
    <m/>
    <m/>
  </r>
  <r>
    <x v="115"/>
    <s v="FR_MIN_SPOT"/>
    <s v="TORA"/>
    <s v="Scania 2022 Na LS"/>
    <n v="0"/>
    <x v="53"/>
    <n v="0"/>
    <n v="0"/>
    <n v="0"/>
    <n v="7868"/>
    <n v="61.081404109589037"/>
    <n v="441"/>
    <n v="207.06"/>
    <s v=""/>
    <s v=""/>
    <n v="2950.32"/>
    <n v="450"/>
    <n v="19.63"/>
    <n v="450"/>
    <n v="0"/>
    <n v="0"/>
    <n v="0"/>
    <n v="0"/>
    <n v="-996"/>
    <n v="11451.091404109589"/>
    <n v="-11451.091404109589"/>
    <n v="-19319.091404109589"/>
    <m/>
    <m/>
    <m/>
    <m/>
  </r>
  <r>
    <x v="116"/>
    <s v="FR_MIN_SPOT"/>
    <s v="TORA"/>
    <s v="Scania 2022 Na LS"/>
    <n v="819"/>
    <x v="53"/>
    <n v="0"/>
    <n v="0"/>
    <n v="0"/>
    <n v="7868"/>
    <n v="61.081404109589037"/>
    <n v="441"/>
    <n v="207.06"/>
    <n v="1118.5363215"/>
    <s v=""/>
    <n v="3080.03"/>
    <n v="450"/>
    <n v="1.59"/>
    <n v="450"/>
    <n v="12.748251584413882"/>
    <n v="4343.68"/>
    <n v="0"/>
    <n v="0"/>
    <n v="-996"/>
    <n v="17037.725977194004"/>
    <n v="-17037.725977194004"/>
    <n v="-24905.725977194004"/>
    <m/>
    <m/>
    <m/>
    <m/>
  </r>
  <r>
    <x v="117"/>
    <s v="FR_MIN_SPOT"/>
    <s v="TORA"/>
    <s v="Scania 2022 Na LS"/>
    <n v="115"/>
    <x v="53"/>
    <n v="0"/>
    <n v="0"/>
    <n v="0"/>
    <n v="7868"/>
    <n v="61.081404109589037"/>
    <n v="441"/>
    <n v="207.06"/>
    <s v=""/>
    <s v=""/>
    <n v="2555.29"/>
    <n v="450"/>
    <n v="0"/>
    <n v="450"/>
    <n v="1.7900475362730115"/>
    <n v="2590"/>
    <n v="0"/>
    <n v="0"/>
    <n v="-996"/>
    <n v="13628.221451645863"/>
    <n v="-13628.221451645863"/>
    <n v="-21496.221451645863"/>
    <m/>
    <m/>
    <m/>
    <m/>
  </r>
  <r>
    <x v="118"/>
    <s v="FR_MIN_SPOT"/>
    <s v="TORA"/>
    <s v="Scania 2022 Na LS"/>
    <n v="320"/>
    <x v="53"/>
    <n v="0"/>
    <n v="0"/>
    <n v="0"/>
    <n v="7868"/>
    <n v="61.081404109589037"/>
    <n v="441"/>
    <n v="207.06"/>
    <n v="1863.1669127499999"/>
    <s v=""/>
    <n v="3601.8900000000003"/>
    <n v="450"/>
    <n v="1667.24"/>
    <n v="450"/>
    <n v="4.9810018400640317"/>
    <n v="2372"/>
    <n v="0"/>
    <n v="0"/>
    <n v="-996"/>
    <n v="17990.419318699653"/>
    <n v="-17990.419318699653"/>
    <n v="-25858.419318699653"/>
    <m/>
    <m/>
    <m/>
    <m/>
  </r>
  <r>
    <x v="119"/>
    <s v="FR_MIN_SPOT"/>
    <s v="TORA"/>
    <s v="Scania 2022 Na LS"/>
    <n v="112"/>
    <x v="53"/>
    <n v="0"/>
    <n v="0"/>
    <n v="0"/>
    <n v="7868"/>
    <n v="61.081404109589037"/>
    <n v="441"/>
    <n v="207.06"/>
    <s v=""/>
    <s v=""/>
    <n v="3526.9"/>
    <n v="0"/>
    <n v="0"/>
    <n v="0"/>
    <n v="1.7433506440224114"/>
    <n v="6299.8"/>
    <n v="0"/>
    <n v="0"/>
    <n v="-996"/>
    <n v="17409.58475475361"/>
    <n v="-17409.58475475361"/>
    <n v="-25277.58475475361"/>
    <m/>
    <m/>
    <m/>
    <m/>
  </r>
  <r>
    <x v="120"/>
    <s v="FR_MIN_SPOT"/>
    <s v="TORA"/>
    <s v="Scania 2022 Na LS"/>
    <n v="1685"/>
    <x v="53"/>
    <n v="0"/>
    <n v="0"/>
    <n v="0"/>
    <n v="7868"/>
    <n v="61.081404109589037"/>
    <n v="441"/>
    <n v="207.06"/>
    <n v="2454.3527677500001"/>
    <s v=""/>
    <n v="3651.0400000000004"/>
    <n v="450"/>
    <n v="78.52"/>
    <n v="450"/>
    <n v="26.228087814087168"/>
    <n v="6299.8"/>
    <n v="0"/>
    <n v="0"/>
    <n v="-996"/>
    <n v="20991.082259673676"/>
    <n v="-20991.082259673676"/>
    <n v="-28859.082259673676"/>
    <m/>
    <m/>
    <m/>
    <m/>
  </r>
  <r>
    <x v="121"/>
    <s v="FR_MIN_SPOT"/>
    <s v="TORA"/>
    <s v="Scania 2022 Na LS"/>
    <n v="1748"/>
    <x v="53"/>
    <n v="0"/>
    <n v="0"/>
    <n v="0"/>
    <n v="7868"/>
    <n v="61.081404109589037"/>
    <n v="441"/>
    <n v="207.06"/>
    <n v="5204.9029272500002"/>
    <s v=""/>
    <n v="2970.5899999999997"/>
    <n v="225"/>
    <n v="23.41"/>
    <n v="225"/>
    <n v="27.208722551349776"/>
    <n v="3365.68"/>
    <n v="0"/>
    <n v="0"/>
    <n v="-996"/>
    <n v="19622.93305391094"/>
    <n v="-19622.93305391094"/>
    <n v="-27490.93305391094"/>
    <m/>
    <m/>
    <m/>
    <m/>
  </r>
  <r>
    <x v="122"/>
    <s v="FR_MIN_SPOT"/>
    <s v="TORA"/>
    <s v="Scania 2022 Na LS"/>
    <n v="0"/>
    <x v="53"/>
    <n v="0"/>
    <n v="0"/>
    <n v="0"/>
    <n v="7868"/>
    <n v="61.081404109589037"/>
    <n v="441"/>
    <n v="207.06"/>
    <s v=""/>
    <s v=""/>
    <n v="3107.39"/>
    <n v="0"/>
    <n v="43.04"/>
    <n v="0"/>
    <n v="0"/>
    <n v="0"/>
    <n v="0"/>
    <n v="0"/>
    <n v="-996"/>
    <n v="10731.571404109589"/>
    <n v="-10731.571404109589"/>
    <n v="-18599.571404109589"/>
    <m/>
    <m/>
    <m/>
    <m/>
  </r>
  <r>
    <x v="123"/>
    <s v="FR_MIN_SPOT"/>
    <s v="TORA"/>
    <s v="Scania 2022 Na LS"/>
    <n v="1250"/>
    <x v="53"/>
    <n v="0"/>
    <n v="0"/>
    <n v="0"/>
    <n v="7868"/>
    <n v="0"/>
    <n v="441"/>
    <n v="207.06"/>
    <n v="3452.3827000000001"/>
    <s v=""/>
    <n v="4043.5000000000005"/>
    <n v="225"/>
    <n v="151.25"/>
    <n v="225"/>
    <n v="19.457038437750125"/>
    <n v="3365.68"/>
    <n v="0"/>
    <n v="0"/>
    <n v="-996"/>
    <n v="19002.329738437751"/>
    <n v="-19002.329738437751"/>
    <n v="-26870.329738437751"/>
    <m/>
    <m/>
    <m/>
    <m/>
  </r>
  <r>
    <x v="124"/>
    <s v="FR_MIN_SPOT"/>
    <s v="TORA"/>
    <s v="Scania 2022 Na LS"/>
    <n v="977"/>
    <x v="53"/>
    <n v="0"/>
    <n v="0"/>
    <n v="0"/>
    <n v="7868"/>
    <n v="61.081404109589037"/>
    <n v="441"/>
    <n v="207.06"/>
    <n v="3288.3449755000001"/>
    <s v=""/>
    <n v="2687.7400000000002"/>
    <n v="0"/>
    <n v="39.26"/>
    <n v="0"/>
    <n v="15.207621242945498"/>
    <n v="436"/>
    <n v="0"/>
    <n v="0"/>
    <n v="-996"/>
    <n v="14047.694000852534"/>
    <n v="-14047.694000852534"/>
    <n v="-21915.694000852534"/>
    <m/>
    <m/>
    <m/>
    <m/>
  </r>
  <r>
    <x v="125"/>
    <s v="FR_MIN_FERRO+"/>
    <s v="TORA"/>
    <s v="Scania 2024 na 4º Eixo"/>
    <n v="1761"/>
    <x v="59"/>
    <n v="21.344835"/>
    <n v="173.58516500000002"/>
    <n v="0"/>
    <n v="7868"/>
    <n v="553.63140410958897"/>
    <n v="441"/>
    <n v="207.06"/>
    <n v="2920.76134675"/>
    <n v="14.983642059970245"/>
    <n v="1786.65"/>
    <n v="225"/>
    <n v="0"/>
    <n v="225"/>
    <n v="27.411075751102409"/>
    <n v="0"/>
    <n v="0"/>
    <n v="0"/>
    <n v="-996"/>
    <n v="13258.51382661069"/>
    <n v="-13084.928661610689"/>
    <n v="-20952.928661610691"/>
    <m/>
    <m/>
    <m/>
    <m/>
  </r>
  <r>
    <x v="126"/>
    <s v="FR_MIN_FERRO+"/>
    <s v="TORA"/>
    <s v="Scania 2024 Na LS - ALUGUEL"/>
    <n v="0"/>
    <x v="53"/>
    <n v="0"/>
    <n v="0"/>
    <n v="0"/>
    <n v="7163"/>
    <n v="539.98140410958899"/>
    <n v="441"/>
    <n v="207.06"/>
    <s v=""/>
    <s v=""/>
    <n v="1777.96"/>
    <n v="0"/>
    <n v="19.63"/>
    <n v="0"/>
    <n v="0"/>
    <n v="0"/>
    <n v="0"/>
    <n v="0"/>
    <n v="-996"/>
    <n v="9152.6314041095884"/>
    <n v="-9152.6314041095884"/>
    <n v="-16315.631404109588"/>
    <m/>
    <m/>
    <m/>
    <m/>
  </r>
  <r>
    <x v="127"/>
    <s v="FR_MIN_FERRO+"/>
    <s v="TORA"/>
    <s v="Scania 2024 Na LS - ALUGUEL"/>
    <n v="1853"/>
    <x v="53"/>
    <n v="0"/>
    <n v="0"/>
    <n v="0"/>
    <n v="7163"/>
    <n v="555.75140410958909"/>
    <n v="441"/>
    <n v="207.06"/>
    <n v="4146.95176025"/>
    <s v=""/>
    <n v="2703.22"/>
    <n v="0"/>
    <n v="1.82"/>
    <n v="0"/>
    <n v="28.84311378012082"/>
    <n v="6330.68"/>
    <n v="0"/>
    <n v="224.25999999999996"/>
    <n v="-996"/>
    <n v="20806.586278139715"/>
    <n v="-20806.586278139715"/>
    <n v="-27969.586278139715"/>
    <m/>
    <m/>
    <m/>
    <m/>
  </r>
  <r>
    <x v="128"/>
    <s v="FR_MIN_FERRO+"/>
    <s v="TORA"/>
    <s v="Scania 2024 na 4º Eixo"/>
    <n v="2018"/>
    <x v="60"/>
    <n v="65.880674999999997"/>
    <n v="535.76932499999998"/>
    <n v="0"/>
    <n v="7868"/>
    <n v="552.19140410958903"/>
    <n v="441"/>
    <n v="207.06"/>
    <n v="4825.4678354999996"/>
    <n v="8.0203903191224128"/>
    <n v="2055.59"/>
    <n v="450"/>
    <n v="21.619999999999997"/>
    <n v="450"/>
    <n v="31.411442853903843"/>
    <n v="0"/>
    <n v="0"/>
    <n v="164.93"/>
    <n v="-996"/>
    <n v="16071.270682463492"/>
    <n v="-15535.501357463492"/>
    <n v="-23403.501357463494"/>
    <m/>
    <m/>
    <m/>
    <m/>
  </r>
  <r>
    <x v="129"/>
    <s v="FR_MIN_FERRO+"/>
    <s v="TORA"/>
    <s v="Scania 2024 Na LS - ALUGUEL"/>
    <n v="1925"/>
    <x v="53"/>
    <n v="0"/>
    <n v="0"/>
    <n v="0"/>
    <n v="7163"/>
    <n v="552.19140410958903"/>
    <n v="441"/>
    <n v="207.06"/>
    <n v="4856.1964197500001"/>
    <s v=""/>
    <n v="1827.63"/>
    <n v="0"/>
    <n v="19.63"/>
    <n v="0"/>
    <n v="29.963839194135229"/>
    <n v="2372"/>
    <n v="0"/>
    <n v="189.05999999999997"/>
    <n v="-996"/>
    <n v="16661.731663053724"/>
    <n v="-16661.731663053724"/>
    <n v="-23824.731663053724"/>
    <m/>
    <m/>
    <m/>
    <m/>
  </r>
  <r>
    <x v="130"/>
    <m/>
    <m/>
    <n v="0"/>
    <m/>
    <x v="61"/>
    <m/>
    <m/>
    <m/>
    <m/>
    <m/>
    <n v="0"/>
    <m/>
    <m/>
    <s v=""/>
    <m/>
    <n v="0"/>
    <m/>
    <n v="0"/>
    <m/>
    <m/>
    <m/>
    <m/>
    <m/>
    <n v="3366361.2134391153"/>
    <m/>
    <m/>
    <m/>
    <m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7AE524F2-8F1A-402D-BE2F-42AC33257759}" name="Tabela dinâmica1" cacheId="0" applyNumberFormats="0" applyBorderFormats="0" applyFontFormats="0" applyPatternFormats="0" applyAlignmentFormats="0" applyWidthHeightFormats="1" dataCaption="Valores" updatedVersion="8" minRefreshableVersion="3" showDrill="0" useAutoFormatting="1" rowGrandTotals="0" colGrandTotals="0" itemPrintTitles="1" createdVersion="8" indent="0" compact="0" compactData="0" multipleFieldFilters="0" chartFormat="2">
  <location ref="BH21:BI26" firstHeaderRow="1" firstDataRow="1" firstDataCol="2"/>
  <pivotFields count="31">
    <pivotField axis="axisRow" compact="0" outline="0" showAll="0" defaultSubtotal="0">
      <items count="131">
        <item x="55"/>
        <item x="7"/>
        <item x="19"/>
        <item x="108"/>
        <item x="107"/>
        <item x="88"/>
        <item x="106"/>
        <item x="89"/>
        <item x="109"/>
        <item x="90"/>
        <item x="91"/>
        <item x="111"/>
        <item x="112"/>
        <item x="110"/>
        <item x="113"/>
        <item x="116"/>
        <item x="92"/>
        <item x="117"/>
        <item x="93"/>
        <item x="120"/>
        <item x="118"/>
        <item x="115"/>
        <item x="114"/>
        <item x="119"/>
        <item x="85"/>
        <item x="102"/>
        <item x="121"/>
        <item x="94"/>
        <item x="124"/>
        <item x="86"/>
        <item x="87"/>
        <item x="123"/>
        <item x="122"/>
        <item x="0"/>
        <item x="46"/>
        <item x="62"/>
        <item x="57"/>
        <item x="58"/>
        <item x="4"/>
        <item x="63"/>
        <item x="95"/>
        <item x="97"/>
        <item x="96"/>
        <item x="73"/>
        <item x="105"/>
        <item x="75"/>
        <item x="98"/>
        <item x="103"/>
        <item x="104"/>
        <item x="68"/>
        <item x="99"/>
        <item x="100"/>
        <item x="101"/>
        <item x="79"/>
        <item x="34"/>
        <item x="64"/>
        <item x="65"/>
        <item x="81"/>
        <item x="69"/>
        <item x="82"/>
        <item x="71"/>
        <item x="78"/>
        <item x="67"/>
        <item x="80"/>
        <item x="70"/>
        <item x="84"/>
        <item x="76"/>
        <item x="77"/>
        <item x="83"/>
        <item x="74"/>
        <item x="66"/>
        <item x="72"/>
        <item x="49"/>
        <item x="39"/>
        <item n="SYO6F23" x="5"/>
        <item x="1"/>
        <item x="50"/>
        <item x="33"/>
        <item x="12"/>
        <item x="51"/>
        <item x="42"/>
        <item x="10"/>
        <item x="44"/>
        <item x="22"/>
        <item n="SNU8H78" x="27"/>
        <item x="41"/>
        <item x="47"/>
        <item x="21"/>
        <item x="40"/>
        <item x="35"/>
        <item x="32"/>
        <item x="14"/>
        <item n="SYX8A15" x="11"/>
        <item x="45"/>
        <item x="38"/>
        <item x="126"/>
        <item x="125"/>
        <item x="6"/>
        <item x="36"/>
        <item x="43"/>
        <item x="37"/>
        <item x="29"/>
        <item x="59"/>
        <item x="128"/>
        <item x="129"/>
        <item x="127"/>
        <item x="60"/>
        <item x="56"/>
        <item x="30"/>
        <item x="61"/>
        <item x="13"/>
        <item x="25"/>
        <item n="TXM3G96" x="2"/>
        <item x="8"/>
        <item x="48"/>
        <item x="28"/>
        <item x="20"/>
        <item x="31"/>
        <item x="26"/>
        <item x="18"/>
        <item x="3"/>
        <item x="15"/>
        <item x="52"/>
        <item x="53"/>
        <item x="24"/>
        <item n="TCX9I45" x="9"/>
        <item x="54"/>
        <item x="23"/>
        <item x="17"/>
        <item x="16"/>
        <item x="13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5 + Faturamento" axis="axisRow" compact="0" outline="0" showAll="0" sortType="ascending" defaultSubtotal="0">
      <items count="62">
        <item h="1" x="53"/>
        <item h="1" x="59"/>
        <item h="1" x="50"/>
        <item h="1" x="45"/>
        <item h="1" x="44"/>
        <item h="1" x="37"/>
        <item h="1" x="36"/>
        <item h="1" x="60"/>
        <item h="1" x="48"/>
        <item h="1" x="49"/>
        <item h="1" x="43"/>
        <item h="1" x="40"/>
        <item h="1" x="41"/>
        <item h="1" x="33"/>
        <item h="1" x="42"/>
        <item h="1" x="31"/>
        <item h="1" x="19"/>
        <item h="1" x="54"/>
        <item h="1" x="58"/>
        <item h="1" x="14"/>
        <item h="1" x="30"/>
        <item h="1" x="17"/>
        <item h="1" x="1"/>
        <item h="1" x="38"/>
        <item h="1" x="7"/>
        <item h="1" x="18"/>
        <item h="1" x="57"/>
        <item h="1" x="10"/>
        <item h="1" x="23"/>
        <item h="1" x="24"/>
        <item h="1" x="21"/>
        <item h="1" x="46"/>
        <item h="1" x="6"/>
        <item h="1" x="52"/>
        <item h="1" x="26"/>
        <item h="1" x="29"/>
        <item h="1" x="3"/>
        <item h="1" x="0"/>
        <item h="1" x="51"/>
        <item h="1" x="8"/>
        <item h="1" x="20"/>
        <item h="1" x="32"/>
        <item h="1" x="16"/>
        <item h="1" x="39"/>
        <item h="1" x="22"/>
        <item h="1" x="15"/>
        <item h="1" x="34"/>
        <item h="1" x="47"/>
        <item h="1" x="55"/>
        <item h="1" x="35"/>
        <item h="1" x="28"/>
        <item h="1" x="25"/>
        <item h="1" x="13"/>
        <item h="1" x="4"/>
        <item h="1" x="12"/>
        <item h="1" x="56"/>
        <item x="11"/>
        <item x="27"/>
        <item x="5"/>
        <item x="9"/>
        <item x="2"/>
        <item h="1" x="61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numFmtId="164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</pivotFields>
  <rowFields count="2">
    <field x="5"/>
    <field x="0"/>
  </rowFields>
  <rowItems count="5">
    <i>
      <x v="56"/>
      <x v="92"/>
    </i>
    <i>
      <x v="57"/>
      <x v="84"/>
    </i>
    <i>
      <x v="58"/>
      <x v="74"/>
    </i>
    <i>
      <x v="59"/>
      <x v="125"/>
    </i>
    <i>
      <x v="60"/>
      <x v="112"/>
    </i>
  </rowItems>
  <colItems count="1">
    <i/>
  </colItems>
  <formats count="1">
    <format dxfId="69">
      <pivotArea dataOnly="0" labelOnly="1" outline="0" fieldPosition="0">
        <references count="1">
          <reference field="5" count="31"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  <x v="50"/>
            <x v="51"/>
            <x v="52"/>
            <x v="53"/>
            <x v="54"/>
            <x v="55"/>
            <x v="56"/>
            <x v="57"/>
            <x v="58"/>
            <x v="59"/>
            <x v="60"/>
          </reference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 EnabledSubtotalsDefault="0" SubtotalsOnTopDefault="0"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1A96B8B-E9B7-4321-B188-50B77EE12435}" name="Tabela1" displayName="Tabela1" ref="B9:AF141" totalsRowCount="1" headerRowDxfId="68" dataDxfId="67">
  <autoFilter ref="B9:AF140" xr:uid="{91A96B8B-E9B7-4321-B188-50B77EE12435}"/>
  <sortState xmlns:xlrd2="http://schemas.microsoft.com/office/spreadsheetml/2017/richdata2" ref="B10:AF140">
    <sortCondition descending="1" ref="F9:F140"/>
  </sortState>
  <tableColumns count="31">
    <tableColumn id="1" xr3:uid="{C975D63E-036D-49E9-B1FF-25B5D146090C}" name="Placa" dataDxfId="66" totalsRowDxfId="35"/>
    <tableColumn id="2" xr3:uid="{FDCC0020-F2F6-431E-8482-F760005B26F0}" name="Operação" dataDxfId="65" totalsRowDxfId="34"/>
    <tableColumn id="30" xr3:uid="{C9810D07-9108-403A-B364-86C8AB1BEF3F}" name="Empresa" dataDxfId="64" totalsRowDxfId="33"/>
    <tableColumn id="29" xr3:uid="{D11E05D6-651F-46CF-9F03-D80832A628C8}" name="Chave  " dataDxfId="63" totalsRowDxfId="32"/>
    <tableColumn id="3" xr3:uid="{D2FE7581-F402-42D8-840D-9D58AA4504C7}" name="Km Rodado" dataDxfId="62" totalsRowDxfId="31"/>
    <tableColumn id="4" xr3:uid="{9764105B-D644-41E5-9FCC-B0C8B1A631D6}" name="Receita" dataDxfId="61" totalsRowDxfId="30" dataCellStyle="Moeda"/>
    <tableColumn id="5" xr3:uid="{DCCBC5D0-0C26-4767-B2D4-33B45CD01D4F}" name="Imposto" dataDxfId="60" totalsRowDxfId="29"/>
    <tableColumn id="6" xr3:uid="{55AF9BBF-9C2E-4D79-9E63-F52710587254}" name="Receita Liquida" dataDxfId="59" totalsRowDxfId="28"/>
    <tableColumn id="8" xr3:uid="{736236A3-896E-421C-9BE5-8801EB730ADF}" name="Gasto com Pessoal" dataDxfId="58" totalsRowDxfId="27" dataCellStyle="Moeda"/>
    <tableColumn id="9" xr3:uid="{2B0C4389-7CE4-4536-A44C-62C5D25B2FA2}" name="Depreciação" dataDxfId="57" totalsRowDxfId="26" dataCellStyle="Moeda"/>
    <tableColumn id="10" xr3:uid="{458E8C39-524C-4DF6-983E-8442FCC0577C}" name="Rastreador" dataDxfId="56" totalsRowDxfId="25" dataCellStyle="Moeda"/>
    <tableColumn id="17" xr3:uid="{7C1C3519-0724-41F7-8624-E9549EED3B82}" name="Ipva e Taxas" dataDxfId="55" totalsRowDxfId="24" dataCellStyle="Moeda"/>
    <tableColumn id="12" xr3:uid="{C643CB27-50A4-4F3B-B51E-47DC3FAD9E01}" name="Seguros" dataDxfId="54" totalsRowDxfId="23" dataCellStyle="Moeda"/>
    <tableColumn id="13" xr3:uid="{74634930-E9A6-43EC-8C93-E8F348CB7562}" name="Combustivel" dataDxfId="53" totalsRowDxfId="22" dataCellStyle="Moeda"/>
    <tableColumn id="14" xr3:uid="{C5DEF165-6EED-429E-9F89-5E241AB30B1D}" name="% Diesel" dataDxfId="52" totalsRowDxfId="21" dataCellStyle="Porcentagem"/>
    <tableColumn id="15" xr3:uid="{DCD78DF5-F11D-4EF9-BF46-B2082EEDE295}" name="Contrato Manutenção" dataDxfId="51" totalsRowDxfId="20" dataCellStyle="Moeda"/>
    <tableColumn id="31" xr3:uid="{692A7B9F-79BB-49D5-812F-CB78ECF0494D}" name="Peças e Acessórios" dataDxfId="50" totalsRowDxfId="19" dataCellStyle="Moeda"/>
    <tableColumn id="16" xr3:uid="{C2438862-3C47-4D62-B1EA-42B4E4EDE088}" name="Officina Propria" dataDxfId="49" totalsRowDxfId="18" dataCellStyle="Moeda"/>
    <tableColumn id="7" xr3:uid="{8445E5FB-D324-497E-BDD0-A42DD0C95844}" name="Lavagens &amp; Lubrificação" dataDxfId="48" totalsRowDxfId="17" dataCellStyle="Moeda"/>
    <tableColumn id="32" xr3:uid="{40022299-FBED-4FD1-9EA4-E2003CF0F107}" name="Serviços Terceiros" dataDxfId="47" totalsRowDxfId="16" dataCellStyle="Moeda"/>
    <tableColumn id="18" xr3:uid="{5316077F-8C57-4130-884C-B8C757BDE2B5}" name="Pneus e Camaras" totalsRowLabel=" R$ 278.608,76 " dataDxfId="46" totalsRowDxfId="15" dataCellStyle="Moeda"/>
    <tableColumn id="19" xr3:uid="{63927B29-FFD1-4033-AB47-5CA6DBE6AB57}" name="Locação" dataDxfId="45" totalsRowDxfId="14" dataCellStyle="Moeda"/>
    <tableColumn id="21" xr3:uid="{A992DF7C-5028-4DFB-9D2B-21A5949823CB}" name="Pedagios" dataDxfId="44" totalsRowDxfId="13" dataCellStyle="Moeda"/>
    <tableColumn id="22" xr3:uid="{7F456BB9-E5D5-4495-B628-C8B6A3E991EB}" name="Outros" dataDxfId="43" totalsRowDxfId="12" dataCellStyle="Moeda"/>
    <tableColumn id="20" xr3:uid="{713F3463-25AD-4C55-9085-51239E78F485}" name="Custos" dataDxfId="42" totalsRowDxfId="11" dataCellStyle="Moeda"/>
    <tableColumn id="23" xr3:uid="{9630CC72-E84A-435D-96D9-7D7E720CD134}" name="Resultado " dataDxfId="41" totalsRowDxfId="10" dataCellStyle="Moeda"/>
    <tableColumn id="24" xr3:uid="{BA3C87F6-9372-485C-8E6D-87FFDA51C6DD}" name="Geração" dataDxfId="40" totalsRowDxfId="9" dataCellStyle="Moeda"/>
    <tableColumn id="25" xr3:uid="{1A37CCFA-655A-4599-A0CE-8B8DA4629296}" name=" - " dataDxfId="39" totalsRowDxfId="8" dataCellStyle="Moeda"/>
    <tableColumn id="26" xr3:uid="{E6275269-81F8-4DBC-B1F2-4779B521043A}" name=" -     " dataDxfId="38" totalsRowDxfId="7" dataCellStyle="Moeda"/>
    <tableColumn id="27" xr3:uid="{3EAFB2D0-40AE-4B0C-831C-862A050F97C1}" name="    -     " dataDxfId="37" totalsRowDxfId="6" dataCellStyle="Moeda"/>
    <tableColumn id="28" xr3:uid="{7692F009-2161-49A4-9A94-9CE039610C58}" name="     -      " dataDxfId="36" totalsRowDxfId="5" dataCellStyle="Moeda"/>
  </tableColumns>
  <tableStyleInfo name="TableStyleLight14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1" Type="http://schemas.openxmlformats.org/officeDocument/2006/relationships/pivotTable" Target="../pivotTables/pivotTable1.xml"/><Relationship Id="rId6" Type="http://schemas.openxmlformats.org/officeDocument/2006/relationships/comments" Target="../comments1.xml"/><Relationship Id="rId5" Type="http://schemas.openxmlformats.org/officeDocument/2006/relationships/table" Target="../tables/table1.xml"/><Relationship Id="rId4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E5DB5B3-1519-445A-BB82-3830CCA050FF}">
  <sheetPr codeName="Planilha8">
    <tabColor theme="6" tint="0.39997558519241921"/>
  </sheetPr>
  <dimension ref="A1:BJ197"/>
  <sheetViews>
    <sheetView showGridLines="0" tabSelected="1" topLeftCell="P1" zoomScale="90" zoomScaleNormal="90" workbookViewId="0">
      <pane ySplit="9" topLeftCell="A10" activePane="bottomLeft" state="frozen"/>
      <selection activeCell="B1" sqref="B1"/>
      <selection pane="bottomLeft" activeCell="Y23" sqref="Y23"/>
    </sheetView>
  </sheetViews>
  <sheetFormatPr defaultColWidth="9.109375" defaultRowHeight="12" x14ac:dyDescent="0.25"/>
  <cols>
    <col min="1" max="1" width="10.44140625" style="2" hidden="1" customWidth="1"/>
    <col min="2" max="2" width="9.109375" style="2" customWidth="1"/>
    <col min="3" max="3" width="22" style="2" customWidth="1"/>
    <col min="4" max="4" width="10.44140625" style="2" customWidth="1"/>
    <col min="5" max="5" width="22.44140625" style="4" bestFit="1" customWidth="1"/>
    <col min="6" max="6" width="12.88671875" style="2" bestFit="1" customWidth="1"/>
    <col min="7" max="7" width="14.33203125" style="2" bestFit="1" customWidth="1"/>
    <col min="8" max="8" width="16.88671875" style="2" customWidth="1"/>
    <col min="9" max="9" width="18.33203125" style="2" customWidth="1"/>
    <col min="10" max="10" width="15" style="2" customWidth="1"/>
    <col min="11" max="11" width="15.5546875" style="2" customWidth="1"/>
    <col min="12" max="12" width="14" style="2" bestFit="1" customWidth="1"/>
    <col min="13" max="13" width="14" style="2" customWidth="1"/>
    <col min="14" max="14" width="14.88671875" style="2" bestFit="1" customWidth="1"/>
    <col min="15" max="15" width="14.5546875" style="2" customWidth="1"/>
    <col min="16" max="16" width="12" style="2" customWidth="1"/>
    <col min="17" max="17" width="18.6640625" style="2" customWidth="1"/>
    <col min="18" max="18" width="17.44140625" style="2" customWidth="1"/>
    <col min="19" max="19" width="15.6640625" style="2" customWidth="1"/>
    <col min="20" max="20" width="19.6640625" style="2" customWidth="1"/>
    <col min="21" max="21" width="16" style="2" customWidth="1"/>
    <col min="22" max="22" width="16.5546875" style="2" customWidth="1"/>
    <col min="23" max="23" width="14.109375" style="2" customWidth="1"/>
    <col min="24" max="24" width="14.44140625" style="2" customWidth="1"/>
    <col min="25" max="25" width="13.5546875" style="2" bestFit="1" customWidth="1"/>
    <col min="26" max="26" width="14.88671875" style="2" customWidth="1"/>
    <col min="27" max="27" width="15" style="2" customWidth="1"/>
    <col min="28" max="28" width="14.109375" style="2" customWidth="1"/>
    <col min="29" max="31" width="11" style="2" hidden="1" customWidth="1"/>
    <col min="32" max="32" width="9.109375" style="2" hidden="1" customWidth="1"/>
    <col min="33" max="37" width="9.109375" style="39" customWidth="1"/>
    <col min="38" max="38" width="9.109375" style="2" customWidth="1"/>
    <col min="39" max="59" width="9.109375" style="2"/>
    <col min="60" max="60" width="18.44140625" style="2" bestFit="1" customWidth="1"/>
    <col min="61" max="61" width="9.33203125" style="2" bestFit="1" customWidth="1"/>
    <col min="62" max="16384" width="9.109375" style="2"/>
  </cols>
  <sheetData>
    <row r="1" spans="1:58" x14ac:dyDescent="0.25">
      <c r="B1" s="24"/>
      <c r="C1" s="24"/>
      <c r="D1" s="24"/>
      <c r="E1" s="25"/>
      <c r="F1" s="24"/>
      <c r="G1" s="24"/>
      <c r="H1" s="24"/>
      <c r="I1" s="24"/>
      <c r="J1" s="24"/>
      <c r="K1" s="24"/>
      <c r="L1" s="24"/>
      <c r="M1" s="24"/>
      <c r="N1" s="24"/>
      <c r="O1" s="24"/>
      <c r="P1" s="24"/>
      <c r="Q1" s="24"/>
      <c r="R1" s="24"/>
      <c r="S1" s="24"/>
      <c r="T1" s="24"/>
      <c r="U1" s="24"/>
      <c r="V1" s="24"/>
      <c r="W1" s="24"/>
      <c r="X1" s="24"/>
      <c r="Y1" s="24"/>
      <c r="Z1" s="24"/>
      <c r="AA1" s="24"/>
      <c r="AB1" s="24"/>
      <c r="AC1" s="24"/>
      <c r="AD1" s="24"/>
      <c r="AE1" s="24"/>
      <c r="AF1" s="24"/>
    </row>
    <row r="2" spans="1:58" x14ac:dyDescent="0.25">
      <c r="B2" s="24"/>
      <c r="C2" s="24"/>
      <c r="D2" s="24"/>
      <c r="E2" s="25"/>
      <c r="F2" s="24"/>
      <c r="G2" s="24"/>
      <c r="H2" s="24"/>
      <c r="I2" s="24"/>
      <c r="J2" s="24"/>
      <c r="K2" s="24"/>
      <c r="L2" s="24"/>
      <c r="M2" s="24"/>
      <c r="N2" s="24"/>
      <c r="O2" s="24"/>
      <c r="P2" s="24"/>
      <c r="Q2" s="24"/>
      <c r="R2" s="24"/>
      <c r="S2" s="24"/>
      <c r="T2" s="24"/>
      <c r="U2" s="24"/>
      <c r="V2" s="24"/>
      <c r="W2" s="24"/>
      <c r="X2" s="24"/>
      <c r="Y2" s="24"/>
      <c r="Z2" s="24"/>
      <c r="AA2" s="24"/>
      <c r="AB2" s="24"/>
      <c r="AC2" s="24"/>
      <c r="AD2" s="24"/>
      <c r="AE2" s="24"/>
      <c r="AF2" s="24"/>
    </row>
    <row r="3" spans="1:58" x14ac:dyDescent="0.25">
      <c r="B3" s="38"/>
      <c r="C3" s="38"/>
      <c r="D3" s="38"/>
      <c r="E3" s="25"/>
      <c r="F3" s="24"/>
      <c r="G3" s="24"/>
      <c r="H3" s="24"/>
      <c r="I3" s="24"/>
      <c r="J3" s="24"/>
      <c r="K3" s="24"/>
      <c r="L3" s="24"/>
      <c r="M3" s="24"/>
      <c r="N3" s="24"/>
      <c r="O3" s="24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</row>
    <row r="4" spans="1:58" x14ac:dyDescent="0.25">
      <c r="B4" s="38"/>
      <c r="C4" s="38"/>
      <c r="D4" s="38"/>
      <c r="E4" s="25"/>
      <c r="F4" s="24"/>
      <c r="G4" s="26"/>
      <c r="H4" s="24"/>
      <c r="I4" s="24"/>
      <c r="J4" s="24"/>
      <c r="K4" s="24"/>
      <c r="L4" s="24"/>
      <c r="M4" s="24"/>
      <c r="N4" s="24"/>
      <c r="O4" s="24"/>
      <c r="P4" s="24"/>
      <c r="Q4" s="24"/>
      <c r="R4" s="24"/>
      <c r="S4" s="24"/>
      <c r="T4" s="24"/>
      <c r="U4" s="24"/>
      <c r="V4" s="24"/>
      <c r="W4" s="24"/>
      <c r="X4" s="24"/>
      <c r="Y4" s="24"/>
      <c r="Z4" s="24"/>
      <c r="AA4" s="24"/>
      <c r="AB4" s="24"/>
      <c r="AC4" s="24"/>
      <c r="AD4" s="24"/>
      <c r="AE4" s="24"/>
      <c r="AF4" s="24"/>
    </row>
    <row r="5" spans="1:58" ht="14.25" customHeight="1" x14ac:dyDescent="0.25">
      <c r="B5" s="38"/>
      <c r="C5" s="38"/>
      <c r="D5" s="38"/>
      <c r="E5" s="25"/>
      <c r="F5" s="24"/>
      <c r="G5" s="24"/>
      <c r="H5" s="24"/>
      <c r="I5" s="24"/>
      <c r="J5" s="24"/>
      <c r="K5" s="24"/>
      <c r="L5" s="24"/>
      <c r="M5" s="24"/>
      <c r="N5" s="24"/>
      <c r="O5" s="24"/>
      <c r="P5" s="24"/>
      <c r="Q5" s="24"/>
      <c r="R5" s="24"/>
      <c r="S5" s="24"/>
      <c r="T5" s="24"/>
      <c r="U5" s="24"/>
      <c r="V5" s="24"/>
      <c r="W5" s="24"/>
      <c r="X5" s="24"/>
      <c r="Y5" s="24"/>
      <c r="Z5" s="24"/>
      <c r="AA5" s="24"/>
      <c r="AB5" s="24"/>
      <c r="AC5" s="24"/>
      <c r="AD5" s="24"/>
      <c r="AE5" s="24"/>
      <c r="AF5" s="24"/>
    </row>
    <row r="6" spans="1:58" x14ac:dyDescent="0.25">
      <c r="B6" s="38"/>
      <c r="C6" s="38"/>
      <c r="D6" s="38"/>
      <c r="E6" s="25"/>
      <c r="F6" s="24"/>
      <c r="G6" s="24"/>
      <c r="H6" s="24"/>
      <c r="I6" s="24"/>
      <c r="J6" s="24"/>
      <c r="K6" s="24"/>
      <c r="L6" s="24"/>
      <c r="M6" s="24"/>
      <c r="N6" s="24"/>
      <c r="O6" s="24"/>
      <c r="P6" s="24"/>
      <c r="Q6" s="24"/>
      <c r="R6" s="24"/>
      <c r="S6" s="24"/>
      <c r="T6" s="24"/>
      <c r="U6" s="24"/>
      <c r="V6" s="24"/>
      <c r="W6" s="24"/>
      <c r="X6" s="24"/>
      <c r="Y6" s="24"/>
      <c r="Z6" s="24"/>
      <c r="AA6" s="24"/>
      <c r="AB6" s="24"/>
      <c r="AC6" s="24"/>
      <c r="AD6" s="24"/>
      <c r="AE6" s="24"/>
      <c r="AF6" s="24"/>
    </row>
    <row r="7" spans="1:58" x14ac:dyDescent="0.25">
      <c r="B7" s="24"/>
      <c r="C7" s="24"/>
      <c r="D7" s="24"/>
      <c r="E7" s="25"/>
      <c r="F7" s="24"/>
      <c r="G7" s="24"/>
      <c r="H7" s="24"/>
      <c r="I7" s="24"/>
      <c r="J7" s="24"/>
      <c r="K7" s="24"/>
      <c r="L7" s="24"/>
      <c r="M7" s="24"/>
      <c r="N7" s="24"/>
      <c r="O7" s="31">
        <f>SUM(O10:O139)</f>
        <v>445017.27293075027</v>
      </c>
      <c r="P7" s="24"/>
      <c r="Q7" s="24"/>
      <c r="R7" s="24"/>
      <c r="S7" s="31">
        <f>SUM(S10:S139)</f>
        <v>19895.150000000001</v>
      </c>
      <c r="T7" s="24"/>
      <c r="U7" s="24"/>
      <c r="V7" s="24"/>
      <c r="W7" s="24"/>
      <c r="X7" s="31">
        <f>SUM(X10:X139)</f>
        <v>40263.800000000017</v>
      </c>
      <c r="Y7" s="24"/>
      <c r="Z7" s="24"/>
      <c r="AA7" s="24"/>
      <c r="AB7" s="24"/>
      <c r="AC7" s="24"/>
      <c r="AD7" s="24"/>
      <c r="AE7" s="24"/>
      <c r="AF7" s="24"/>
    </row>
    <row r="8" spans="1:58" s="4" customFormat="1" x14ac:dyDescent="0.25">
      <c r="B8" s="7">
        <f>COUNTA(B10:B139)</f>
        <v>130</v>
      </c>
      <c r="C8" s="11"/>
      <c r="D8" s="11"/>
      <c r="E8" s="11"/>
      <c r="F8" s="27">
        <f>SUM(F10:F139)</f>
        <v>180412</v>
      </c>
      <c r="G8" s="23">
        <f>SUM(G10:G139)</f>
        <v>503506.67999999988</v>
      </c>
      <c r="H8" s="23">
        <f>SUM(H10:H139)</f>
        <v>55133.981460000032</v>
      </c>
      <c r="I8" s="23">
        <f>SUM(I10:I139)</f>
        <v>448372.69854000007</v>
      </c>
      <c r="J8" s="11"/>
      <c r="K8" s="11"/>
      <c r="L8" s="11" t="s">
        <v>157</v>
      </c>
      <c r="M8" s="11" t="s">
        <v>157</v>
      </c>
      <c r="N8" s="11" t="s">
        <v>158</v>
      </c>
      <c r="O8" s="11" t="s">
        <v>159</v>
      </c>
      <c r="P8" s="11" t="s">
        <v>160</v>
      </c>
      <c r="Q8" s="11" t="s">
        <v>160</v>
      </c>
      <c r="R8" s="11"/>
      <c r="S8" s="11" t="s">
        <v>160</v>
      </c>
      <c r="T8" s="11" t="s">
        <v>161</v>
      </c>
      <c r="U8" s="11"/>
      <c r="V8" s="11" t="s">
        <v>162</v>
      </c>
      <c r="W8" s="11"/>
      <c r="X8" s="23"/>
      <c r="Y8" s="11"/>
      <c r="Z8" s="23">
        <f>SUM(Z10:Z139)</f>
        <v>3311586.6634391174</v>
      </c>
      <c r="AA8" s="11"/>
      <c r="AB8" s="11"/>
      <c r="AC8" s="11"/>
      <c r="AD8" s="11"/>
      <c r="AE8" s="11"/>
      <c r="AF8" s="7"/>
      <c r="AG8" s="40"/>
      <c r="AH8" s="40"/>
      <c r="AI8" s="40"/>
      <c r="AJ8" s="40"/>
      <c r="AK8" s="40"/>
    </row>
    <row r="9" spans="1:58" ht="27.75" customHeight="1" x14ac:dyDescent="0.25">
      <c r="A9" s="3">
        <f ca="1">TODAY()</f>
        <v>46124</v>
      </c>
      <c r="B9" s="16" t="s">
        <v>0</v>
      </c>
      <c r="C9" s="16" t="s">
        <v>1</v>
      </c>
      <c r="D9" s="16" t="s">
        <v>68</v>
      </c>
      <c r="E9" s="16" t="s">
        <v>151</v>
      </c>
      <c r="F9" s="16" t="s">
        <v>2</v>
      </c>
      <c r="G9" s="16" t="s">
        <v>3</v>
      </c>
      <c r="H9" s="16" t="s">
        <v>4</v>
      </c>
      <c r="I9" s="16" t="s">
        <v>5</v>
      </c>
      <c r="J9" s="10" t="s">
        <v>6</v>
      </c>
      <c r="K9" s="10" t="s">
        <v>7</v>
      </c>
      <c r="L9" s="14" t="s">
        <v>8</v>
      </c>
      <c r="M9" s="14" t="s">
        <v>9</v>
      </c>
      <c r="N9" s="10" t="s">
        <v>10</v>
      </c>
      <c r="O9" s="10" t="s">
        <v>11</v>
      </c>
      <c r="P9" s="1" t="s">
        <v>163</v>
      </c>
      <c r="Q9" s="10" t="s">
        <v>12</v>
      </c>
      <c r="R9" s="10" t="s">
        <v>150</v>
      </c>
      <c r="S9" s="10" t="s">
        <v>165</v>
      </c>
      <c r="T9" s="10" t="s">
        <v>166</v>
      </c>
      <c r="U9" s="10" t="s">
        <v>14</v>
      </c>
      <c r="V9" s="10" t="s">
        <v>164</v>
      </c>
      <c r="W9" s="10" t="s">
        <v>13</v>
      </c>
      <c r="X9" s="10" t="s">
        <v>15</v>
      </c>
      <c r="Y9" s="10" t="s">
        <v>16</v>
      </c>
      <c r="Z9" s="10" t="s">
        <v>168</v>
      </c>
      <c r="AA9" s="10" t="s">
        <v>17</v>
      </c>
      <c r="AB9" s="10" t="s">
        <v>18</v>
      </c>
      <c r="AC9" s="15" t="s">
        <v>169</v>
      </c>
      <c r="AD9" s="15" t="s">
        <v>170</v>
      </c>
      <c r="AE9" s="15" t="s">
        <v>171</v>
      </c>
      <c r="AF9" s="15" t="s">
        <v>172</v>
      </c>
    </row>
    <row r="10" spans="1:58" s="1" customFormat="1" ht="13.8" customHeight="1" x14ac:dyDescent="0.25">
      <c r="A10" s="1" t="s">
        <v>27</v>
      </c>
      <c r="B10" s="2" t="s">
        <v>181</v>
      </c>
      <c r="C10" s="2" t="s">
        <v>178</v>
      </c>
      <c r="D10" s="2" t="s">
        <v>311</v>
      </c>
      <c r="E10" s="2" t="s">
        <v>156</v>
      </c>
      <c r="F10" s="4">
        <v>3192</v>
      </c>
      <c r="G10" s="17">
        <v>15305.360000000004</v>
      </c>
      <c r="H10" s="18">
        <v>1675.9369200000006</v>
      </c>
      <c r="I10" s="19">
        <v>13629.423080000004</v>
      </c>
      <c r="J10" s="12">
        <v>9200</v>
      </c>
      <c r="K10" s="8">
        <v>5210</v>
      </c>
      <c r="L10" s="20">
        <v>539.98140410958899</v>
      </c>
      <c r="M10" s="20">
        <v>245</v>
      </c>
      <c r="N10" s="12">
        <v>107.06</v>
      </c>
      <c r="O10" s="12">
        <v>6039.3806882500003</v>
      </c>
      <c r="P10" s="22">
        <v>0.39459252760144148</v>
      </c>
      <c r="Q10" s="12">
        <v>6316.98</v>
      </c>
      <c r="R10" s="12">
        <v>225</v>
      </c>
      <c r="S10" s="12">
        <v>0</v>
      </c>
      <c r="T10" s="12">
        <v>225</v>
      </c>
      <c r="U10" s="12">
        <v>6.1644540787221906</v>
      </c>
      <c r="V10" s="12">
        <v>3350</v>
      </c>
      <c r="W10" s="12">
        <v>0</v>
      </c>
      <c r="X10" s="12">
        <v>2103.900000000001</v>
      </c>
      <c r="Y10" s="12">
        <v>-996</v>
      </c>
      <c r="Z10" s="21">
        <v>34821.466546438314</v>
      </c>
      <c r="AA10" s="21">
        <v>-21192.04346643831</v>
      </c>
      <c r="AB10" s="21">
        <v>-28355.04346643831</v>
      </c>
      <c r="AC10" s="12"/>
      <c r="AD10" s="12"/>
      <c r="AE10" s="12"/>
      <c r="AF10" s="12"/>
      <c r="AG10" s="41"/>
      <c r="AH10" s="41"/>
      <c r="AI10" s="41"/>
      <c r="AJ10" s="41"/>
      <c r="AK10" s="41"/>
    </row>
    <row r="11" spans="1:58" ht="14.25" customHeight="1" x14ac:dyDescent="0.25">
      <c r="A11" s="1" t="s">
        <v>61</v>
      </c>
      <c r="B11" s="2" t="s">
        <v>182</v>
      </c>
      <c r="C11" s="2" t="s">
        <v>180</v>
      </c>
      <c r="D11" s="2" t="s">
        <v>311</v>
      </c>
      <c r="E11" s="2" t="s">
        <v>156</v>
      </c>
      <c r="F11" s="4">
        <v>2935</v>
      </c>
      <c r="G11" s="17">
        <v>14706.23</v>
      </c>
      <c r="H11" s="18">
        <v>1610.332185</v>
      </c>
      <c r="I11" s="19">
        <v>13095.897815</v>
      </c>
      <c r="J11" s="12">
        <v>18400</v>
      </c>
      <c r="K11" s="8">
        <v>5210</v>
      </c>
      <c r="L11" s="20">
        <v>555.51140410958897</v>
      </c>
      <c r="M11" s="20">
        <v>245</v>
      </c>
      <c r="N11" s="12">
        <v>107.06</v>
      </c>
      <c r="O11" s="12">
        <v>5561.8737492500004</v>
      </c>
      <c r="P11" s="22">
        <v>0.37819847433706671</v>
      </c>
      <c r="Q11" s="12">
        <v>3904.22</v>
      </c>
      <c r="R11" s="12">
        <v>200</v>
      </c>
      <c r="S11" s="12">
        <v>62.67</v>
      </c>
      <c r="T11" s="12">
        <v>200</v>
      </c>
      <c r="U11" s="12">
        <v>5.6681305517072778</v>
      </c>
      <c r="V11" s="12">
        <v>972</v>
      </c>
      <c r="W11" s="12">
        <v>0</v>
      </c>
      <c r="X11" s="12">
        <v>796.87</v>
      </c>
      <c r="Y11" s="12">
        <v>-996</v>
      </c>
      <c r="Z11" s="21">
        <v>37473.873283911293</v>
      </c>
      <c r="AA11" s="21">
        <v>-24377.975468911292</v>
      </c>
      <c r="AB11" s="21">
        <v>-31540.975468911292</v>
      </c>
      <c r="AC11" s="12"/>
      <c r="AD11" s="12"/>
      <c r="AE11" s="12"/>
      <c r="AF11" s="12"/>
    </row>
    <row r="12" spans="1:58" ht="14.25" customHeight="1" x14ac:dyDescent="0.25">
      <c r="A12" s="1" t="s">
        <v>19</v>
      </c>
      <c r="B12" s="2" t="s">
        <v>183</v>
      </c>
      <c r="C12" s="2" t="s">
        <v>178</v>
      </c>
      <c r="D12" s="2" t="s">
        <v>311</v>
      </c>
      <c r="E12" s="2" t="s">
        <v>156</v>
      </c>
      <c r="F12" s="4">
        <v>2779</v>
      </c>
      <c r="G12" s="17">
        <v>9465.6100000000024</v>
      </c>
      <c r="H12" s="18">
        <v>1036.4842950000002</v>
      </c>
      <c r="I12" s="19">
        <v>8429.1257050000022</v>
      </c>
      <c r="J12" s="12">
        <v>9200</v>
      </c>
      <c r="K12" s="8">
        <v>5210</v>
      </c>
      <c r="L12" s="20">
        <v>552.05140410958904</v>
      </c>
      <c r="M12" s="20">
        <v>245</v>
      </c>
      <c r="N12" s="12">
        <v>107.06</v>
      </c>
      <c r="O12" s="12">
        <v>7624.9597807500004</v>
      </c>
      <c r="P12" s="22">
        <v>0.80554341249533823</v>
      </c>
      <c r="Q12" s="12">
        <v>4175.3</v>
      </c>
      <c r="R12" s="12">
        <v>0</v>
      </c>
      <c r="S12" s="12">
        <v>0</v>
      </c>
      <c r="T12" s="12">
        <v>0</v>
      </c>
      <c r="U12" s="12">
        <v>5.3668602395892755</v>
      </c>
      <c r="V12" s="12">
        <v>593</v>
      </c>
      <c r="W12" s="12">
        <v>3411</v>
      </c>
      <c r="X12" s="12">
        <v>2135.71</v>
      </c>
      <c r="Y12" s="12">
        <v>-996</v>
      </c>
      <c r="Z12" s="21">
        <v>34512.448045099183</v>
      </c>
      <c r="AA12" s="21">
        <v>-26083.322340099181</v>
      </c>
      <c r="AB12" s="21">
        <v>-33246.322340099185</v>
      </c>
      <c r="AC12" s="12"/>
      <c r="AD12" s="12"/>
      <c r="AE12" s="12"/>
      <c r="AF12" s="12"/>
    </row>
    <row r="13" spans="1:58" ht="14.25" customHeight="1" x14ac:dyDescent="0.25">
      <c r="A13" s="1" t="s">
        <v>37</v>
      </c>
      <c r="B13" s="2" t="s">
        <v>184</v>
      </c>
      <c r="C13" s="2" t="s">
        <v>178</v>
      </c>
      <c r="D13" s="2" t="s">
        <v>311</v>
      </c>
      <c r="E13" s="2" t="s">
        <v>156</v>
      </c>
      <c r="F13" s="4">
        <v>2749</v>
      </c>
      <c r="G13" s="17">
        <v>12655.95</v>
      </c>
      <c r="H13" s="18">
        <v>1385.8265250000002</v>
      </c>
      <c r="I13" s="19">
        <v>11270.123475</v>
      </c>
      <c r="J13" s="12">
        <v>9200</v>
      </c>
      <c r="K13" s="8">
        <v>5210</v>
      </c>
      <c r="L13" s="20">
        <v>751.95140410958902</v>
      </c>
      <c r="M13" s="20">
        <v>245</v>
      </c>
      <c r="N13" s="12">
        <v>107.06</v>
      </c>
      <c r="O13" s="12">
        <v>6484.0483727500005</v>
      </c>
      <c r="P13" s="22">
        <v>0.51233201559345609</v>
      </c>
      <c r="Q13" s="12">
        <v>5516.61</v>
      </c>
      <c r="R13" s="12">
        <v>225</v>
      </c>
      <c r="S13" s="12">
        <v>0</v>
      </c>
      <c r="T13" s="12">
        <v>225</v>
      </c>
      <c r="U13" s="12">
        <v>5.3089236411050447</v>
      </c>
      <c r="V13" s="12">
        <v>1956</v>
      </c>
      <c r="W13" s="12">
        <v>3411</v>
      </c>
      <c r="X13" s="12">
        <v>1879.88</v>
      </c>
      <c r="Y13" s="12">
        <v>-996</v>
      </c>
      <c r="Z13" s="21">
        <v>36469.858700500699</v>
      </c>
      <c r="AA13" s="21">
        <v>-25199.735225500699</v>
      </c>
      <c r="AB13" s="21">
        <v>-32362.735225500699</v>
      </c>
      <c r="AC13" s="12"/>
      <c r="AD13" s="12"/>
      <c r="AE13" s="12"/>
      <c r="AF13" s="12"/>
    </row>
    <row r="14" spans="1:58" ht="14.25" customHeight="1" x14ac:dyDescent="0.25">
      <c r="A14" s="1" t="s">
        <v>23</v>
      </c>
      <c r="B14" s="2" t="s">
        <v>185</v>
      </c>
      <c r="C14" s="2" t="s">
        <v>178</v>
      </c>
      <c r="D14" s="2" t="s">
        <v>311</v>
      </c>
      <c r="E14" s="2" t="s">
        <v>156</v>
      </c>
      <c r="F14" s="4">
        <v>2734</v>
      </c>
      <c r="G14" s="17">
        <v>10119.950000000001</v>
      </c>
      <c r="H14" s="18">
        <v>1108.1345250000002</v>
      </c>
      <c r="I14" s="19">
        <v>9011.8154750000012</v>
      </c>
      <c r="J14" s="12">
        <v>9200</v>
      </c>
      <c r="K14" s="8">
        <v>5210</v>
      </c>
      <c r="L14" s="20">
        <v>548.86140410958899</v>
      </c>
      <c r="M14" s="20">
        <v>245</v>
      </c>
      <c r="N14" s="12">
        <v>107.06</v>
      </c>
      <c r="O14" s="12">
        <v>8350.2673345000003</v>
      </c>
      <c r="P14" s="22">
        <v>0.82512930740764523</v>
      </c>
      <c r="Q14" s="12">
        <v>4622.47</v>
      </c>
      <c r="R14" s="12">
        <v>0</v>
      </c>
      <c r="S14" s="12">
        <v>0</v>
      </c>
      <c r="T14" s="12">
        <v>0</v>
      </c>
      <c r="U14" s="12">
        <v>5.2799553418629293</v>
      </c>
      <c r="V14" s="12">
        <v>2372</v>
      </c>
      <c r="W14" s="12">
        <v>0</v>
      </c>
      <c r="X14" s="12">
        <v>1896.9700000000005</v>
      </c>
      <c r="Y14" s="12">
        <v>-996</v>
      </c>
      <c r="Z14" s="21">
        <v>33810.908693951453</v>
      </c>
      <c r="AA14" s="21">
        <v>-24799.09321895145</v>
      </c>
      <c r="AB14" s="21">
        <v>-31962.09321895145</v>
      </c>
      <c r="AC14" s="12"/>
      <c r="AD14" s="12"/>
      <c r="AE14" s="12"/>
      <c r="AF14" s="12"/>
      <c r="AS14" s="24"/>
      <c r="AT14" s="24"/>
      <c r="AU14" s="24"/>
      <c r="AV14" s="24"/>
      <c r="AW14" s="24"/>
      <c r="AX14" s="24"/>
      <c r="AY14" s="24"/>
      <c r="AZ14" s="24"/>
      <c r="BA14" s="24"/>
      <c r="BB14" s="24"/>
      <c r="BC14" s="24"/>
      <c r="BD14" s="24"/>
      <c r="BE14" s="24"/>
      <c r="BF14" s="24"/>
    </row>
    <row r="15" spans="1:58" ht="14.25" customHeight="1" x14ac:dyDescent="0.25">
      <c r="A15" s="1" t="s">
        <v>46</v>
      </c>
      <c r="B15" s="2" t="s">
        <v>186</v>
      </c>
      <c r="C15" s="2" t="s">
        <v>180</v>
      </c>
      <c r="D15" s="2" t="s">
        <v>311</v>
      </c>
      <c r="E15" s="2" t="s">
        <v>156</v>
      </c>
      <c r="F15" s="4">
        <v>2726</v>
      </c>
      <c r="G15" s="17">
        <v>18885.659999999996</v>
      </c>
      <c r="H15" s="18">
        <v>2067.9797699999995</v>
      </c>
      <c r="I15" s="19">
        <v>16817.680229999998</v>
      </c>
      <c r="J15" s="12">
        <v>18400</v>
      </c>
      <c r="K15" s="8">
        <v>5210</v>
      </c>
      <c r="L15" s="20">
        <v>544.74140410958898</v>
      </c>
      <c r="M15" s="20">
        <v>245</v>
      </c>
      <c r="N15" s="12">
        <v>107.06</v>
      </c>
      <c r="O15" s="12">
        <v>6123.5498577500002</v>
      </c>
      <c r="P15" s="22">
        <v>0.32424336018704147</v>
      </c>
      <c r="Q15" s="12">
        <v>3781.99</v>
      </c>
      <c r="R15" s="12">
        <v>0</v>
      </c>
      <c r="S15" s="12">
        <v>58.89</v>
      </c>
      <c r="T15" s="12">
        <v>0</v>
      </c>
      <c r="U15" s="12">
        <v>5.2645055822671338</v>
      </c>
      <c r="V15" s="12">
        <v>5323.53</v>
      </c>
      <c r="W15" s="12">
        <v>3411</v>
      </c>
      <c r="X15" s="12">
        <v>1082.06</v>
      </c>
      <c r="Y15" s="12">
        <v>-996</v>
      </c>
      <c r="Z15" s="21">
        <v>45546.085767441851</v>
      </c>
      <c r="AA15" s="21">
        <v>-28728.405537441853</v>
      </c>
      <c r="AB15" s="21">
        <v>-35891.405537441853</v>
      </c>
      <c r="AC15" s="12"/>
      <c r="AD15" s="12"/>
      <c r="AE15" s="12"/>
      <c r="AF15" s="12"/>
      <c r="AS15" s="24"/>
      <c r="AT15" s="24"/>
      <c r="AU15" s="24"/>
      <c r="AV15" s="24"/>
      <c r="AW15" s="24"/>
      <c r="AX15" s="24"/>
      <c r="AY15" s="24"/>
      <c r="AZ15" s="24"/>
      <c r="BA15" s="24"/>
      <c r="BB15" s="24"/>
      <c r="BC15" s="24"/>
      <c r="BD15" s="24"/>
      <c r="BE15" s="24"/>
      <c r="BF15" s="24"/>
    </row>
    <row r="16" spans="1:58" ht="14.25" customHeight="1" x14ac:dyDescent="0.25">
      <c r="A16" s="1" t="s">
        <v>38</v>
      </c>
      <c r="B16" s="2" t="s">
        <v>187</v>
      </c>
      <c r="C16" s="2" t="s">
        <v>175</v>
      </c>
      <c r="D16" s="2" t="s">
        <v>312</v>
      </c>
      <c r="E16" s="2" t="s">
        <v>153</v>
      </c>
      <c r="F16" s="4">
        <v>2719</v>
      </c>
      <c r="G16" s="17">
        <v>572.41999999999996</v>
      </c>
      <c r="H16" s="18">
        <v>62.679989999999997</v>
      </c>
      <c r="I16" s="19">
        <v>509.74000999999998</v>
      </c>
      <c r="J16" s="12">
        <v>0</v>
      </c>
      <c r="K16" s="8">
        <v>5210</v>
      </c>
      <c r="L16" s="20">
        <v>540.32140410958903</v>
      </c>
      <c r="M16" s="20">
        <v>245</v>
      </c>
      <c r="N16" s="12">
        <v>107.06</v>
      </c>
      <c r="O16" s="12">
        <v>5647.2221195000002</v>
      </c>
      <c r="P16" s="22">
        <v>9.8655220284057172</v>
      </c>
      <c r="Q16" s="12">
        <v>1845.2</v>
      </c>
      <c r="R16" s="12">
        <v>450</v>
      </c>
      <c r="S16" s="12">
        <v>0</v>
      </c>
      <c r="T16" s="12">
        <v>450</v>
      </c>
      <c r="U16" s="12">
        <v>42.322950009794127</v>
      </c>
      <c r="V16" s="12">
        <v>0</v>
      </c>
      <c r="W16" s="12">
        <v>0</v>
      </c>
      <c r="X16" s="12">
        <v>0</v>
      </c>
      <c r="Y16" s="12">
        <v>-996</v>
      </c>
      <c r="Z16" s="21">
        <v>15790.126473619383</v>
      </c>
      <c r="AA16" s="21">
        <v>-15280.386463619383</v>
      </c>
      <c r="AB16" s="21">
        <v>-22443.386463619383</v>
      </c>
      <c r="AC16" s="12"/>
      <c r="AD16" s="12"/>
      <c r="AE16" s="12"/>
      <c r="AF16" s="12"/>
      <c r="AS16" s="24"/>
      <c r="AT16" s="24"/>
      <c r="AU16" s="24"/>
      <c r="AV16" s="24"/>
      <c r="AW16" s="24"/>
      <c r="AX16" s="24"/>
      <c r="AY16" s="24"/>
      <c r="AZ16" s="24"/>
      <c r="BA16" s="24"/>
      <c r="BB16" s="24"/>
      <c r="BC16" s="24"/>
      <c r="BD16" s="24"/>
      <c r="BE16" s="24"/>
      <c r="BF16" s="24"/>
    </row>
    <row r="17" spans="1:62" ht="14.25" customHeight="1" x14ac:dyDescent="0.25">
      <c r="A17" s="1" t="s">
        <v>60</v>
      </c>
      <c r="B17" s="2" t="s">
        <v>188</v>
      </c>
      <c r="C17" s="2" t="s">
        <v>180</v>
      </c>
      <c r="D17" s="2" t="s">
        <v>311</v>
      </c>
      <c r="E17" s="2" t="s">
        <v>156</v>
      </c>
      <c r="F17" s="4">
        <v>2682</v>
      </c>
      <c r="G17" s="17">
        <v>14334.560000000001</v>
      </c>
      <c r="H17" s="18">
        <v>1569.6343200000001</v>
      </c>
      <c r="I17" s="19">
        <v>12764.92568</v>
      </c>
      <c r="J17" s="12">
        <v>18400</v>
      </c>
      <c r="K17" s="8">
        <v>5210</v>
      </c>
      <c r="L17" s="20">
        <v>548.43140410958904</v>
      </c>
      <c r="M17" s="20">
        <v>245</v>
      </c>
      <c r="N17" s="12">
        <v>107.06</v>
      </c>
      <c r="O17" s="12">
        <v>3890.8868309999998</v>
      </c>
      <c r="P17" s="22">
        <v>0.27143399106774113</v>
      </c>
      <c r="Q17" s="12">
        <v>4048.22</v>
      </c>
      <c r="R17" s="12">
        <v>0</v>
      </c>
      <c r="S17" s="12">
        <v>39.26</v>
      </c>
      <c r="T17" s="12">
        <v>0</v>
      </c>
      <c r="U17" s="12">
        <v>5.1795319044902621</v>
      </c>
      <c r="V17" s="12">
        <v>1956</v>
      </c>
      <c r="W17" s="12">
        <v>0</v>
      </c>
      <c r="X17" s="12">
        <v>1123.2900000000002</v>
      </c>
      <c r="Y17" s="12">
        <v>-996</v>
      </c>
      <c r="Z17" s="21">
        <v>36826.327767014081</v>
      </c>
      <c r="AA17" s="21">
        <v>-24061.402087014081</v>
      </c>
      <c r="AB17" s="21">
        <v>-31224.402087014081</v>
      </c>
      <c r="AC17" s="12"/>
      <c r="AD17" s="12"/>
      <c r="AE17" s="12"/>
      <c r="AF17" s="12"/>
      <c r="AS17" s="24"/>
      <c r="AT17" s="24"/>
      <c r="AU17" s="24"/>
      <c r="AV17" s="24"/>
      <c r="AW17" s="24"/>
      <c r="AX17" s="24"/>
      <c r="AY17" s="24"/>
      <c r="AZ17" s="24"/>
      <c r="BA17" s="24"/>
      <c r="BB17" s="24"/>
      <c r="BC17" s="24"/>
      <c r="BD17" s="24"/>
      <c r="BE17" s="24"/>
      <c r="BF17" s="24"/>
    </row>
    <row r="18" spans="1:62" ht="14.25" customHeight="1" x14ac:dyDescent="0.25">
      <c r="A18" s="1" t="s">
        <v>40</v>
      </c>
      <c r="B18" s="2" t="s">
        <v>189</v>
      </c>
      <c r="C18" s="2" t="s">
        <v>179</v>
      </c>
      <c r="D18" s="2" t="s">
        <v>311</v>
      </c>
      <c r="E18" s="2" t="s">
        <v>156</v>
      </c>
      <c r="F18" s="4">
        <v>2675</v>
      </c>
      <c r="G18" s="17">
        <v>14466.99</v>
      </c>
      <c r="H18" s="18">
        <v>1584.135405</v>
      </c>
      <c r="I18" s="19">
        <v>12882.854595000001</v>
      </c>
      <c r="J18" s="12">
        <v>18400</v>
      </c>
      <c r="K18" s="8">
        <v>5210</v>
      </c>
      <c r="L18" s="20">
        <v>552.19140410958903</v>
      </c>
      <c r="M18" s="20">
        <v>245</v>
      </c>
      <c r="N18" s="12">
        <v>107.06</v>
      </c>
      <c r="O18" s="12">
        <v>4869.0685354999996</v>
      </c>
      <c r="P18" s="22">
        <v>0.33656403546971414</v>
      </c>
      <c r="Q18" s="12">
        <v>2144.59</v>
      </c>
      <c r="R18" s="12">
        <v>350</v>
      </c>
      <c r="S18" s="12">
        <v>65.28</v>
      </c>
      <c r="T18" s="12">
        <v>350</v>
      </c>
      <c r="U18" s="12">
        <v>5.1660133648439412</v>
      </c>
      <c r="V18" s="12">
        <v>7157.380000000001</v>
      </c>
      <c r="W18" s="12">
        <v>0</v>
      </c>
      <c r="X18" s="12">
        <v>473.1600000000002</v>
      </c>
      <c r="Y18" s="12">
        <v>-996</v>
      </c>
      <c r="Z18" s="21">
        <v>41181.895952974432</v>
      </c>
      <c r="AA18" s="21">
        <v>-28299.041357974431</v>
      </c>
      <c r="AB18" s="21">
        <v>-35462.041357974435</v>
      </c>
      <c r="AC18" s="12"/>
      <c r="AD18" s="12"/>
      <c r="AE18" s="12"/>
      <c r="AF18" s="12"/>
      <c r="AS18" s="24"/>
      <c r="AT18" s="24"/>
      <c r="AU18" s="24"/>
      <c r="AV18" s="24"/>
      <c r="AW18" s="24"/>
      <c r="AX18" s="24"/>
      <c r="AY18" s="24"/>
      <c r="AZ18" s="24"/>
      <c r="BA18" s="24"/>
      <c r="BB18" s="24"/>
      <c r="BC18" s="24"/>
      <c r="BD18" s="24"/>
      <c r="BE18" s="24"/>
      <c r="BF18" s="24"/>
    </row>
    <row r="19" spans="1:62" ht="14.25" customHeight="1" x14ac:dyDescent="0.25">
      <c r="A19" s="1" t="s">
        <v>33</v>
      </c>
      <c r="B19" s="2" t="s">
        <v>190</v>
      </c>
      <c r="C19" s="2" t="s">
        <v>178</v>
      </c>
      <c r="D19" s="2" t="s">
        <v>311</v>
      </c>
      <c r="E19" s="2" t="s">
        <v>156</v>
      </c>
      <c r="F19" s="4">
        <v>2650</v>
      </c>
      <c r="G19" s="17">
        <v>8906.880000000001</v>
      </c>
      <c r="H19" s="18">
        <v>975.30336000000011</v>
      </c>
      <c r="I19" s="19">
        <v>7931.5766400000011</v>
      </c>
      <c r="J19" s="12">
        <v>9200</v>
      </c>
      <c r="K19" s="8">
        <v>5210</v>
      </c>
      <c r="L19" s="20">
        <v>680.49140410958898</v>
      </c>
      <c r="M19" s="20">
        <v>245</v>
      </c>
      <c r="N19" s="12">
        <v>107.06</v>
      </c>
      <c r="O19" s="12">
        <v>6711.2872937499997</v>
      </c>
      <c r="P19" s="22">
        <v>0.75349474717858544</v>
      </c>
      <c r="Q19" s="12">
        <v>5081.21</v>
      </c>
      <c r="R19" s="12">
        <v>0</v>
      </c>
      <c r="S19" s="12">
        <v>1330.0600000000002</v>
      </c>
      <c r="T19" s="12">
        <v>0</v>
      </c>
      <c r="U19" s="12">
        <v>5.1177328661070822</v>
      </c>
      <c r="V19" s="12">
        <v>1956</v>
      </c>
      <c r="W19" s="12">
        <v>3411</v>
      </c>
      <c r="X19" s="12">
        <v>2215.8000000000002</v>
      </c>
      <c r="Y19" s="12">
        <v>-996</v>
      </c>
      <c r="Z19" s="21">
        <v>37406.026430725702</v>
      </c>
      <c r="AA19" s="21">
        <v>-29474.449790725703</v>
      </c>
      <c r="AB19" s="21">
        <v>-36637.449790725703</v>
      </c>
      <c r="AC19" s="12"/>
      <c r="AD19" s="12"/>
      <c r="AE19" s="12"/>
      <c r="AF19" s="12"/>
      <c r="AS19" s="24"/>
      <c r="AT19" s="24"/>
      <c r="AU19" s="24"/>
      <c r="AV19" s="24"/>
      <c r="AW19" s="24"/>
      <c r="AX19" s="24"/>
      <c r="AY19" s="24"/>
      <c r="AZ19" s="24"/>
      <c r="BA19" s="24"/>
      <c r="BB19" s="24"/>
      <c r="BC19" s="24"/>
      <c r="BD19" s="24"/>
      <c r="BE19" s="24"/>
      <c r="BF19" s="24"/>
    </row>
    <row r="20" spans="1:62" ht="14.25" customHeight="1" x14ac:dyDescent="0.25">
      <c r="A20" s="1" t="s">
        <v>47</v>
      </c>
      <c r="B20" s="2" t="s">
        <v>191</v>
      </c>
      <c r="C20" s="2" t="s">
        <v>178</v>
      </c>
      <c r="D20" s="2" t="s">
        <v>311</v>
      </c>
      <c r="E20" s="2" t="s">
        <v>156</v>
      </c>
      <c r="F20" s="4">
        <v>2610</v>
      </c>
      <c r="G20" s="17">
        <v>10462.849999999999</v>
      </c>
      <c r="H20" s="18">
        <v>1145.6820749999999</v>
      </c>
      <c r="I20" s="19">
        <v>9317.1679249999979</v>
      </c>
      <c r="J20" s="12">
        <v>9200</v>
      </c>
      <c r="K20" s="8">
        <v>5210</v>
      </c>
      <c r="L20" s="20">
        <v>551.08140410958902</v>
      </c>
      <c r="M20" s="20">
        <v>245</v>
      </c>
      <c r="N20" s="12">
        <v>107.06</v>
      </c>
      <c r="O20" s="12">
        <v>7403.5673172500001</v>
      </c>
      <c r="P20" s="22">
        <v>0.70760522393516123</v>
      </c>
      <c r="Q20" s="12">
        <v>4042.08</v>
      </c>
      <c r="R20" s="12">
        <v>350</v>
      </c>
      <c r="S20" s="12">
        <v>0</v>
      </c>
      <c r="T20" s="12">
        <v>350</v>
      </c>
      <c r="U20" s="12">
        <v>5.0404840681281069</v>
      </c>
      <c r="V20" s="12">
        <v>5737.68</v>
      </c>
      <c r="W20" s="12">
        <v>3411</v>
      </c>
      <c r="X20" s="12">
        <v>2176.0800000000004</v>
      </c>
      <c r="Y20" s="12">
        <v>-996</v>
      </c>
      <c r="Z20" s="21">
        <v>40041.589205427714</v>
      </c>
      <c r="AA20" s="21">
        <v>-30724.421280427716</v>
      </c>
      <c r="AB20" s="21">
        <v>-37887.421280427719</v>
      </c>
      <c r="AC20" s="12"/>
      <c r="AD20" s="12"/>
      <c r="AE20" s="12"/>
      <c r="AF20" s="12"/>
      <c r="AS20" s="24"/>
      <c r="AT20" s="24"/>
      <c r="AU20" s="24"/>
      <c r="AV20" s="24"/>
      <c r="AW20" s="24"/>
      <c r="AX20" s="24"/>
      <c r="AY20" s="24"/>
      <c r="AZ20" s="24"/>
      <c r="BA20" s="24"/>
      <c r="BB20" s="24"/>
      <c r="BC20" s="24"/>
      <c r="BD20" s="24"/>
      <c r="BE20" s="24"/>
      <c r="BF20" s="24"/>
    </row>
    <row r="21" spans="1:62" ht="14.25" customHeight="1" x14ac:dyDescent="0.3">
      <c r="A21" s="1" t="s">
        <v>65</v>
      </c>
      <c r="B21" s="2" t="s">
        <v>192</v>
      </c>
      <c r="C21" s="2" t="s">
        <v>180</v>
      </c>
      <c r="D21" s="2" t="s">
        <v>311</v>
      </c>
      <c r="E21" s="2" t="s">
        <v>156</v>
      </c>
      <c r="F21" s="4">
        <v>2601</v>
      </c>
      <c r="G21" s="17">
        <v>10815.109999999999</v>
      </c>
      <c r="H21" s="18">
        <v>1184.2545449999998</v>
      </c>
      <c r="I21" s="19">
        <v>9630.855454999999</v>
      </c>
      <c r="J21" s="12">
        <v>18400</v>
      </c>
      <c r="K21" s="8">
        <v>5210</v>
      </c>
      <c r="L21" s="20">
        <v>555.51140410958897</v>
      </c>
      <c r="M21" s="20">
        <v>245</v>
      </c>
      <c r="N21" s="12">
        <v>107.06</v>
      </c>
      <c r="O21" s="12">
        <v>4990.8135810000003</v>
      </c>
      <c r="P21" s="22">
        <v>0.46146674245569402</v>
      </c>
      <c r="Q21" s="12">
        <v>1273.25</v>
      </c>
      <c r="R21" s="12">
        <v>300</v>
      </c>
      <c r="S21" s="12">
        <v>3165.72</v>
      </c>
      <c r="T21" s="12">
        <v>300</v>
      </c>
      <c r="U21" s="12">
        <v>5.0231030885828378</v>
      </c>
      <c r="V21" s="12">
        <v>1956</v>
      </c>
      <c r="W21" s="12">
        <v>3411</v>
      </c>
      <c r="X21" s="12">
        <v>1695.4800000000002</v>
      </c>
      <c r="Y21" s="12">
        <v>-996</v>
      </c>
      <c r="Z21" s="21">
        <v>42867.858088198169</v>
      </c>
      <c r="AA21" s="21">
        <v>-33237.002633198172</v>
      </c>
      <c r="AB21" s="21">
        <v>-40400.002633198172</v>
      </c>
      <c r="AC21" s="12"/>
      <c r="AD21" s="12"/>
      <c r="AE21" s="12"/>
      <c r="AF21" s="12"/>
      <c r="AS21" s="24"/>
      <c r="AT21" s="24"/>
      <c r="AU21" s="24"/>
      <c r="AV21" s="24"/>
      <c r="AW21" s="24"/>
      <c r="AX21" s="24"/>
      <c r="AY21" s="24"/>
      <c r="AZ21" s="24"/>
      <c r="BA21" s="24"/>
      <c r="BB21" s="24"/>
      <c r="BC21" s="24"/>
      <c r="BD21" s="24"/>
      <c r="BE21" s="24"/>
      <c r="BF21" s="24"/>
      <c r="BH21" s="28" t="s">
        <v>173</v>
      </c>
      <c r="BI21" s="28" t="s">
        <v>0</v>
      </c>
      <c r="BJ21"/>
    </row>
    <row r="22" spans="1:62" ht="14.25" customHeight="1" x14ac:dyDescent="0.3">
      <c r="A22" s="1" t="s">
        <v>20</v>
      </c>
      <c r="B22" s="2" t="s">
        <v>193</v>
      </c>
      <c r="C22" s="2" t="s">
        <v>178</v>
      </c>
      <c r="D22" s="2" t="s">
        <v>311</v>
      </c>
      <c r="E22" s="2" t="s">
        <v>156</v>
      </c>
      <c r="F22" s="4">
        <v>2600</v>
      </c>
      <c r="G22" s="17">
        <v>18229.099999999999</v>
      </c>
      <c r="H22" s="18">
        <v>1996.0864499999998</v>
      </c>
      <c r="I22" s="19">
        <v>16233.01355</v>
      </c>
      <c r="J22" s="12">
        <v>9200</v>
      </c>
      <c r="K22" s="8">
        <v>5210</v>
      </c>
      <c r="L22" s="20">
        <v>2196.6014041095891</v>
      </c>
      <c r="M22" s="20">
        <v>245</v>
      </c>
      <c r="N22" s="12">
        <v>107.06</v>
      </c>
      <c r="O22" s="12">
        <v>7858.6595327499999</v>
      </c>
      <c r="P22" s="22">
        <v>0.43110518526696329</v>
      </c>
      <c r="Q22" s="12">
        <v>3021.33</v>
      </c>
      <c r="R22" s="12">
        <v>150</v>
      </c>
      <c r="S22" s="12">
        <v>1311.3400000000001</v>
      </c>
      <c r="T22" s="12">
        <v>150</v>
      </c>
      <c r="U22" s="12">
        <v>5.0211718686333633</v>
      </c>
      <c r="V22" s="12">
        <v>5737.68</v>
      </c>
      <c r="W22" s="12">
        <v>3411</v>
      </c>
      <c r="X22" s="12">
        <v>785.7700000000001</v>
      </c>
      <c r="Y22" s="12">
        <v>-996</v>
      </c>
      <c r="Z22" s="21">
        <v>40642.462108728228</v>
      </c>
      <c r="AA22" s="21">
        <v>-24409.448558728229</v>
      </c>
      <c r="AB22" s="21">
        <v>-31572.448558728229</v>
      </c>
      <c r="AC22" s="12"/>
      <c r="AD22" s="12"/>
      <c r="AE22" s="12"/>
      <c r="AF22" s="12"/>
      <c r="AS22" s="24"/>
      <c r="AT22" s="24"/>
      <c r="AU22" s="24"/>
      <c r="AV22" s="24"/>
      <c r="AW22" s="24"/>
      <c r="AX22" s="24"/>
      <c r="AY22" s="24"/>
      <c r="AZ22" s="24"/>
      <c r="BA22" s="24"/>
      <c r="BB22" s="24"/>
      <c r="BC22" s="24"/>
      <c r="BD22" s="24"/>
      <c r="BE22" s="24"/>
      <c r="BF22" s="24"/>
      <c r="BH22" s="29">
        <v>17445.34</v>
      </c>
      <c r="BI22" t="s">
        <v>313</v>
      </c>
      <c r="BJ22"/>
    </row>
    <row r="23" spans="1:62" ht="14.25" customHeight="1" x14ac:dyDescent="0.3">
      <c r="A23" s="1" t="s">
        <v>59</v>
      </c>
      <c r="B23" s="2" t="s">
        <v>194</v>
      </c>
      <c r="C23" s="2" t="s">
        <v>176</v>
      </c>
      <c r="D23" s="2" t="s">
        <v>312</v>
      </c>
      <c r="E23" s="2" t="s">
        <v>155</v>
      </c>
      <c r="F23" s="4">
        <v>2582</v>
      </c>
      <c r="G23" s="17">
        <v>0</v>
      </c>
      <c r="H23" s="18">
        <v>0</v>
      </c>
      <c r="I23" s="19">
        <v>0</v>
      </c>
      <c r="J23" s="12">
        <v>9200</v>
      </c>
      <c r="K23" s="8">
        <v>5210</v>
      </c>
      <c r="L23" s="20">
        <v>61.081404109589037</v>
      </c>
      <c r="M23" s="20">
        <v>245</v>
      </c>
      <c r="N23" s="12">
        <v>107.06</v>
      </c>
      <c r="O23" s="12">
        <v>7834.95660675</v>
      </c>
      <c r="P23" s="22" t="s">
        <v>167</v>
      </c>
      <c r="Q23" s="12">
        <v>2359.61</v>
      </c>
      <c r="R23" s="12">
        <v>0</v>
      </c>
      <c r="S23" s="12">
        <v>20.9</v>
      </c>
      <c r="T23" s="12">
        <v>0</v>
      </c>
      <c r="U23" s="12">
        <v>4.9864099095428243</v>
      </c>
      <c r="V23" s="12">
        <v>6299.8</v>
      </c>
      <c r="W23" s="12">
        <v>0</v>
      </c>
      <c r="X23" s="12">
        <v>0</v>
      </c>
      <c r="Y23" s="12">
        <v>-996</v>
      </c>
      <c r="Z23" s="21">
        <v>32596.394420769131</v>
      </c>
      <c r="AA23" s="21">
        <v>-32596.394420769131</v>
      </c>
      <c r="AB23" s="21">
        <v>-39759.394420769131</v>
      </c>
      <c r="AC23" s="12"/>
      <c r="AD23" s="12"/>
      <c r="AE23" s="12"/>
      <c r="AF23" s="12"/>
      <c r="AS23" s="24"/>
      <c r="AT23" s="24"/>
      <c r="AU23" s="24"/>
      <c r="AV23" s="24"/>
      <c r="AW23" s="24"/>
      <c r="AX23" s="24"/>
      <c r="AY23" s="24"/>
      <c r="AZ23" s="24"/>
      <c r="BA23" s="24"/>
      <c r="BB23" s="24"/>
      <c r="BC23" s="24"/>
      <c r="BD23" s="24"/>
      <c r="BE23" s="24"/>
      <c r="BF23" s="24"/>
      <c r="BH23" s="29">
        <v>17839.519999999997</v>
      </c>
      <c r="BI23" t="s">
        <v>314</v>
      </c>
      <c r="BJ23"/>
    </row>
    <row r="24" spans="1:62" ht="14.25" customHeight="1" x14ac:dyDescent="0.3">
      <c r="A24" s="1" t="s">
        <v>45</v>
      </c>
      <c r="B24" s="2" t="s">
        <v>195</v>
      </c>
      <c r="C24" s="2" t="s">
        <v>180</v>
      </c>
      <c r="D24" s="2" t="s">
        <v>311</v>
      </c>
      <c r="E24" s="2" t="s">
        <v>156</v>
      </c>
      <c r="F24" s="4">
        <v>2558</v>
      </c>
      <c r="G24" s="17">
        <v>11139.830000000002</v>
      </c>
      <c r="H24" s="18">
        <v>1219.8113850000002</v>
      </c>
      <c r="I24" s="19">
        <v>9920.0186150000009</v>
      </c>
      <c r="J24" s="12">
        <v>18400</v>
      </c>
      <c r="K24" s="8">
        <v>5210</v>
      </c>
      <c r="L24" s="20">
        <v>551.32140410958903</v>
      </c>
      <c r="M24" s="20">
        <v>245</v>
      </c>
      <c r="N24" s="12">
        <v>107.06</v>
      </c>
      <c r="O24" s="12">
        <v>5965.9531457499997</v>
      </c>
      <c r="P24" s="22">
        <v>0.53555154304419361</v>
      </c>
      <c r="Q24" s="12">
        <v>4711.2700000000004</v>
      </c>
      <c r="R24" s="12">
        <v>177.22</v>
      </c>
      <c r="S24" s="12">
        <v>4.3</v>
      </c>
      <c r="T24" s="12">
        <v>177.22</v>
      </c>
      <c r="U24" s="12">
        <v>4.9400606307554398</v>
      </c>
      <c r="V24" s="12">
        <v>1956</v>
      </c>
      <c r="W24" s="12">
        <v>3411</v>
      </c>
      <c r="X24" s="12">
        <v>1758.3600000000004</v>
      </c>
      <c r="Y24" s="12">
        <v>-996</v>
      </c>
      <c r="Z24" s="21">
        <v>43932.644610490344</v>
      </c>
      <c r="AA24" s="21">
        <v>-34012.625995490343</v>
      </c>
      <c r="AB24" s="21">
        <v>-41175.625995490343</v>
      </c>
      <c r="AC24" s="12"/>
      <c r="AD24" s="12"/>
      <c r="AE24" s="12"/>
      <c r="AF24" s="12"/>
      <c r="AS24" s="24"/>
      <c r="AT24" s="24"/>
      <c r="AU24" s="24"/>
      <c r="AV24" s="24"/>
      <c r="AW24" s="32" t="e">
        <f>SUMIFS(#REF!,#REF!,Tabela1[[#This Row],[Operação]])</f>
        <v>#REF!</v>
      </c>
      <c r="AX24" s="24"/>
      <c r="AY24" s="24"/>
      <c r="AZ24" s="24"/>
      <c r="BA24" s="24"/>
      <c r="BB24" s="24"/>
      <c r="BC24" s="24"/>
      <c r="BD24" s="24"/>
      <c r="BE24" s="24"/>
      <c r="BF24" s="24"/>
      <c r="BH24" s="29">
        <v>18168.740000000002</v>
      </c>
      <c r="BI24" t="s">
        <v>315</v>
      </c>
      <c r="BJ24"/>
    </row>
    <row r="25" spans="1:62" ht="14.25" customHeight="1" x14ac:dyDescent="0.3">
      <c r="A25" s="1" t="s">
        <v>32</v>
      </c>
      <c r="B25" s="2" t="s">
        <v>196</v>
      </c>
      <c r="C25" s="2" t="s">
        <v>178</v>
      </c>
      <c r="D25" s="2" t="s">
        <v>311</v>
      </c>
      <c r="E25" s="2" t="s">
        <v>156</v>
      </c>
      <c r="F25" s="4">
        <v>2529</v>
      </c>
      <c r="G25" s="17">
        <v>10569.23</v>
      </c>
      <c r="H25" s="18">
        <v>1157.3306849999999</v>
      </c>
      <c r="I25" s="19">
        <v>9411.8993149999988</v>
      </c>
      <c r="J25" s="12">
        <v>18400</v>
      </c>
      <c r="K25" s="8">
        <v>5210</v>
      </c>
      <c r="L25" s="20">
        <v>555.53140410958895</v>
      </c>
      <c r="M25" s="20">
        <v>245</v>
      </c>
      <c r="N25" s="12">
        <v>107.06</v>
      </c>
      <c r="O25" s="12">
        <v>8795.9754902500008</v>
      </c>
      <c r="P25" s="22">
        <v>0.83222481583332009</v>
      </c>
      <c r="Q25" s="12">
        <v>4233.34</v>
      </c>
      <c r="R25" s="12">
        <v>225</v>
      </c>
      <c r="S25" s="12">
        <v>0</v>
      </c>
      <c r="T25" s="12">
        <v>225</v>
      </c>
      <c r="U25" s="12">
        <v>4.8840552522206826</v>
      </c>
      <c r="V25" s="12">
        <v>0</v>
      </c>
      <c r="W25" s="12">
        <v>3411</v>
      </c>
      <c r="X25" s="12">
        <v>1586.9000000000005</v>
      </c>
      <c r="Y25" s="12">
        <v>-996</v>
      </c>
      <c r="Z25" s="21">
        <v>25852.69094961181</v>
      </c>
      <c r="AA25" s="21">
        <v>-16440.791634611811</v>
      </c>
      <c r="AB25" s="21">
        <v>-23603.791634611811</v>
      </c>
      <c r="AC25" s="12"/>
      <c r="AD25" s="12"/>
      <c r="AE25" s="12"/>
      <c r="AF25" s="12"/>
      <c r="AS25" s="24"/>
      <c r="AT25" s="24"/>
      <c r="AU25" s="24"/>
      <c r="AV25" s="24"/>
      <c r="AW25" s="24"/>
      <c r="AX25" s="24"/>
      <c r="AY25" s="24"/>
      <c r="AZ25" s="24"/>
      <c r="BA25" s="24"/>
      <c r="BB25" s="24"/>
      <c r="BC25" s="24"/>
      <c r="BD25" s="24"/>
      <c r="BE25" s="24"/>
      <c r="BF25" s="24"/>
      <c r="BH25" s="29">
        <v>18229.099999999999</v>
      </c>
      <c r="BI25" t="s">
        <v>316</v>
      </c>
      <c r="BJ25"/>
    </row>
    <row r="26" spans="1:62" ht="14.25" customHeight="1" x14ac:dyDescent="0.3">
      <c r="A26" s="1" t="s">
        <v>30</v>
      </c>
      <c r="B26" s="2" t="s">
        <v>197</v>
      </c>
      <c r="C26" s="2" t="s">
        <v>178</v>
      </c>
      <c r="D26" s="2" t="s">
        <v>311</v>
      </c>
      <c r="E26" s="2" t="s">
        <v>156</v>
      </c>
      <c r="F26" s="4">
        <v>2519</v>
      </c>
      <c r="G26" s="17">
        <v>10691.789999999999</v>
      </c>
      <c r="H26" s="18">
        <v>1170.7510049999999</v>
      </c>
      <c r="I26" s="19">
        <v>9521.038994999999</v>
      </c>
      <c r="J26" s="12">
        <v>9200</v>
      </c>
      <c r="K26" s="8">
        <v>5210</v>
      </c>
      <c r="L26" s="20">
        <v>539.98140410958899</v>
      </c>
      <c r="M26" s="20">
        <v>245</v>
      </c>
      <c r="N26" s="12">
        <v>107.06</v>
      </c>
      <c r="O26" s="12">
        <v>8211.4981974999992</v>
      </c>
      <c r="P26" s="22">
        <v>0.76801903119122239</v>
      </c>
      <c r="Q26" s="12">
        <v>5379.71</v>
      </c>
      <c r="R26" s="12">
        <v>200</v>
      </c>
      <c r="S26" s="12">
        <v>0</v>
      </c>
      <c r="T26" s="12">
        <v>200</v>
      </c>
      <c r="U26" s="12">
        <v>4.864743052725939</v>
      </c>
      <c r="V26" s="12">
        <v>5737.68</v>
      </c>
      <c r="W26" s="12">
        <v>0</v>
      </c>
      <c r="X26" s="12">
        <v>722.12</v>
      </c>
      <c r="Y26" s="12">
        <v>-996</v>
      </c>
      <c r="Z26" s="21">
        <v>37010.91434466232</v>
      </c>
      <c r="AA26" s="21">
        <v>-27489.875349662321</v>
      </c>
      <c r="AB26" s="21">
        <v>-34652.875349662325</v>
      </c>
      <c r="AC26" s="21"/>
      <c r="AD26" s="21"/>
      <c r="AE26" s="21"/>
      <c r="AF26" s="21"/>
      <c r="AS26" s="24"/>
      <c r="AT26" s="24"/>
      <c r="AU26" s="24"/>
      <c r="AV26" s="24"/>
      <c r="AW26" s="24"/>
      <c r="AX26" s="24"/>
      <c r="AY26" s="24"/>
      <c r="AZ26" s="24"/>
      <c r="BA26" s="24"/>
      <c r="BB26" s="24"/>
      <c r="BC26" s="24"/>
      <c r="BD26" s="24"/>
      <c r="BE26" s="24"/>
      <c r="BF26" s="24"/>
      <c r="BH26" s="29">
        <v>18885.659999999996</v>
      </c>
      <c r="BI26" t="s">
        <v>317</v>
      </c>
      <c r="BJ26"/>
    </row>
    <row r="27" spans="1:62" ht="14.25" customHeight="1" x14ac:dyDescent="0.3">
      <c r="A27" s="1" t="s">
        <v>51</v>
      </c>
      <c r="B27" s="2" t="s">
        <v>198</v>
      </c>
      <c r="C27" s="2" t="s">
        <v>176</v>
      </c>
      <c r="D27" s="2" t="s">
        <v>312</v>
      </c>
      <c r="E27" s="2" t="s">
        <v>156</v>
      </c>
      <c r="F27" s="4">
        <v>2516</v>
      </c>
      <c r="G27" s="17">
        <v>0</v>
      </c>
      <c r="H27" s="18">
        <v>0</v>
      </c>
      <c r="I27" s="19">
        <v>0</v>
      </c>
      <c r="J27" s="12">
        <v>9200</v>
      </c>
      <c r="K27" s="8">
        <v>5210</v>
      </c>
      <c r="L27" s="20">
        <v>61.081404109589037</v>
      </c>
      <c r="M27" s="20">
        <v>245</v>
      </c>
      <c r="N27" s="12">
        <v>107.06</v>
      </c>
      <c r="O27" s="12">
        <v>6574.0342719999999</v>
      </c>
      <c r="P27" s="22" t="s">
        <v>167</v>
      </c>
      <c r="Q27" s="12">
        <v>3014.4199999999996</v>
      </c>
      <c r="R27" s="12">
        <v>0</v>
      </c>
      <c r="S27" s="12">
        <v>20.54</v>
      </c>
      <c r="T27" s="12">
        <v>0</v>
      </c>
      <c r="U27" s="12">
        <v>4.8589493928775163</v>
      </c>
      <c r="V27" s="12">
        <v>3350</v>
      </c>
      <c r="W27" s="12">
        <v>0</v>
      </c>
      <c r="X27" s="12">
        <v>0</v>
      </c>
      <c r="Y27" s="12">
        <v>-996</v>
      </c>
      <c r="Z27" s="21">
        <v>29039.994625502466</v>
      </c>
      <c r="AA27" s="21">
        <v>-29039.994625502466</v>
      </c>
      <c r="AB27" s="21">
        <v>-36202.99462550247</v>
      </c>
      <c r="AC27" s="12"/>
      <c r="AD27" s="12"/>
      <c r="AE27" s="12"/>
      <c r="AF27" s="12"/>
      <c r="AS27" s="24"/>
      <c r="AT27" s="24"/>
      <c r="AU27" s="24"/>
      <c r="AV27" s="24"/>
      <c r="AW27" s="24"/>
      <c r="AX27" s="24"/>
      <c r="AY27" s="24"/>
      <c r="AZ27" s="24"/>
      <c r="BA27" s="24"/>
      <c r="BB27" s="24"/>
      <c r="BC27" s="24"/>
      <c r="BD27" s="24"/>
      <c r="BE27" s="24"/>
      <c r="BF27" s="24"/>
      <c r="BH27"/>
      <c r="BI27"/>
      <c r="BJ27"/>
    </row>
    <row r="28" spans="1:62" ht="14.25" customHeight="1" x14ac:dyDescent="0.3">
      <c r="A28" s="1" t="s">
        <v>42</v>
      </c>
      <c r="B28" s="2" t="s">
        <v>199</v>
      </c>
      <c r="C28" s="2" t="s">
        <v>180</v>
      </c>
      <c r="D28" s="2" t="s">
        <v>311</v>
      </c>
      <c r="E28" s="2" t="s">
        <v>156</v>
      </c>
      <c r="F28" s="4">
        <v>2456</v>
      </c>
      <c r="G28" s="17">
        <v>17839.519999999997</v>
      </c>
      <c r="H28" s="18">
        <v>1953.4274399999997</v>
      </c>
      <c r="I28" s="19">
        <v>15886.092559999997</v>
      </c>
      <c r="J28" s="12">
        <v>18400</v>
      </c>
      <c r="K28" s="8">
        <v>5210</v>
      </c>
      <c r="L28" s="20">
        <v>555.32140410958903</v>
      </c>
      <c r="M28" s="20">
        <v>245</v>
      </c>
      <c r="N28" s="12">
        <v>107.06</v>
      </c>
      <c r="O28" s="12">
        <v>3557.8171200000002</v>
      </c>
      <c r="P28" s="22">
        <v>0.19943457671506862</v>
      </c>
      <c r="Q28" s="12">
        <v>3788.64</v>
      </c>
      <c r="R28" s="12">
        <v>425</v>
      </c>
      <c r="S28" s="12">
        <v>39.89</v>
      </c>
      <c r="T28" s="12">
        <v>425</v>
      </c>
      <c r="U28" s="12">
        <v>4.7430761959090537</v>
      </c>
      <c r="V28" s="12">
        <v>6299.8</v>
      </c>
      <c r="W28" s="12">
        <v>0</v>
      </c>
      <c r="X28" s="12">
        <v>683.15</v>
      </c>
      <c r="Y28" s="12">
        <v>-996</v>
      </c>
      <c r="Z28" s="21">
        <v>40994.421600305497</v>
      </c>
      <c r="AA28" s="21">
        <v>-25108.3290403055</v>
      </c>
      <c r="AB28" s="21">
        <v>-32271.3290403055</v>
      </c>
      <c r="AC28" s="12"/>
      <c r="AD28" s="12"/>
      <c r="AE28" s="12"/>
      <c r="AF28" s="12"/>
      <c r="AS28" s="24"/>
      <c r="AT28" s="24"/>
      <c r="AU28" s="24"/>
      <c r="AV28" s="24"/>
      <c r="AW28" s="24"/>
      <c r="AX28" s="24"/>
      <c r="AY28" s="24"/>
      <c r="AZ28" s="24"/>
      <c r="BA28" s="24"/>
      <c r="BB28" s="24"/>
      <c r="BC28" s="24"/>
      <c r="BD28" s="24"/>
      <c r="BE28" s="24"/>
      <c r="BF28" s="24"/>
      <c r="BH28"/>
      <c r="BI28"/>
      <c r="BJ28"/>
    </row>
    <row r="29" spans="1:62" ht="14.25" customHeight="1" x14ac:dyDescent="0.3">
      <c r="A29" s="1" t="s">
        <v>70</v>
      </c>
      <c r="B29" s="2" t="s">
        <v>200</v>
      </c>
      <c r="C29" s="2" t="s">
        <v>175</v>
      </c>
      <c r="D29" s="2" t="s">
        <v>312</v>
      </c>
      <c r="E29" s="2" t="s">
        <v>156</v>
      </c>
      <c r="F29" s="4">
        <v>2428</v>
      </c>
      <c r="G29" s="17">
        <v>571.98</v>
      </c>
      <c r="H29" s="18">
        <v>62.631810000000002</v>
      </c>
      <c r="I29" s="19">
        <v>509.34819000000005</v>
      </c>
      <c r="J29" s="12">
        <v>0</v>
      </c>
      <c r="K29" s="8">
        <v>5210</v>
      </c>
      <c r="L29" s="20">
        <v>555.51140410958897</v>
      </c>
      <c r="M29" s="20">
        <v>245</v>
      </c>
      <c r="N29" s="12">
        <v>107.06</v>
      </c>
      <c r="O29" s="12">
        <v>5210.5412905000003</v>
      </c>
      <c r="P29" s="22">
        <v>9.109656439910486</v>
      </c>
      <c r="Q29" s="12">
        <v>1957.65</v>
      </c>
      <c r="R29" s="12">
        <v>225</v>
      </c>
      <c r="S29" s="12">
        <v>0</v>
      </c>
      <c r="T29" s="12">
        <v>225</v>
      </c>
      <c r="U29" s="12">
        <v>4.689002037323772</v>
      </c>
      <c r="V29" s="12">
        <v>2372</v>
      </c>
      <c r="W29" s="12">
        <v>0</v>
      </c>
      <c r="X29" s="12">
        <v>0</v>
      </c>
      <c r="Y29" s="12">
        <v>-996</v>
      </c>
      <c r="Z29" s="21">
        <v>17365.451696646913</v>
      </c>
      <c r="AA29" s="21">
        <v>-16856.103506646912</v>
      </c>
      <c r="AB29" s="21">
        <v>-24019.103506646912</v>
      </c>
      <c r="AC29" s="12"/>
      <c r="AD29" s="12"/>
      <c r="AE29" s="12"/>
      <c r="AF29" s="12"/>
      <c r="AS29" s="24"/>
      <c r="AT29" s="24"/>
      <c r="AU29" s="24"/>
      <c r="AV29" s="24"/>
      <c r="AW29" s="24"/>
      <c r="AX29" s="24"/>
      <c r="AY29" s="24"/>
      <c r="AZ29" s="24"/>
      <c r="BA29" s="24"/>
      <c r="BB29" s="24"/>
      <c r="BC29" s="24"/>
      <c r="BD29" s="24"/>
      <c r="BE29" s="24"/>
      <c r="BF29" s="24"/>
      <c r="BH29"/>
      <c r="BI29"/>
      <c r="BJ29"/>
    </row>
    <row r="30" spans="1:62" ht="14.25" customHeight="1" x14ac:dyDescent="0.3">
      <c r="A30" s="1" t="s">
        <v>43</v>
      </c>
      <c r="B30" s="2" t="s">
        <v>201</v>
      </c>
      <c r="C30" s="2" t="s">
        <v>175</v>
      </c>
      <c r="D30" s="2" t="s">
        <v>312</v>
      </c>
      <c r="E30" s="2" t="s">
        <v>156</v>
      </c>
      <c r="F30" s="4">
        <v>2401</v>
      </c>
      <c r="G30" s="17">
        <v>195.23000000000002</v>
      </c>
      <c r="H30" s="18">
        <v>21.377685000000003</v>
      </c>
      <c r="I30" s="19">
        <v>173.852315</v>
      </c>
      <c r="J30" s="12">
        <v>0</v>
      </c>
      <c r="K30" s="8">
        <v>5210</v>
      </c>
      <c r="L30" s="20">
        <v>555.51140410958897</v>
      </c>
      <c r="M30" s="20">
        <v>245</v>
      </c>
      <c r="N30" s="12">
        <v>107.06</v>
      </c>
      <c r="O30" s="12">
        <v>6207.4118404999999</v>
      </c>
      <c r="P30" s="22">
        <v>31.795378991445983</v>
      </c>
      <c r="Q30" s="12">
        <v>2192.6799999999998</v>
      </c>
      <c r="R30" s="12">
        <v>0</v>
      </c>
      <c r="S30" s="12">
        <v>0</v>
      </c>
      <c r="T30" s="12">
        <v>0</v>
      </c>
      <c r="U30" s="12">
        <v>4.6368590986879639</v>
      </c>
      <c r="V30" s="12">
        <v>0</v>
      </c>
      <c r="W30" s="12">
        <v>0</v>
      </c>
      <c r="X30" s="12">
        <v>0</v>
      </c>
      <c r="Y30" s="12">
        <v>-996</v>
      </c>
      <c r="Z30" s="21">
        <v>15775.300103708276</v>
      </c>
      <c r="AA30" s="21">
        <v>-15601.447788708276</v>
      </c>
      <c r="AB30" s="21">
        <v>-22764.447788708276</v>
      </c>
      <c r="AC30" s="12"/>
      <c r="AD30" s="12"/>
      <c r="AE30" s="12"/>
      <c r="AF30" s="12"/>
      <c r="AS30" s="24"/>
      <c r="AT30" s="24"/>
      <c r="AU30" s="24"/>
      <c r="AV30" s="24"/>
      <c r="AW30" s="24"/>
      <c r="AX30" s="24"/>
      <c r="AY30" s="24"/>
      <c r="AZ30" s="24"/>
      <c r="BA30" s="24"/>
      <c r="BB30" s="24"/>
      <c r="BC30" s="24"/>
      <c r="BD30" s="24"/>
      <c r="BE30" s="24"/>
      <c r="BF30" s="24"/>
      <c r="BH30"/>
      <c r="BI30"/>
      <c r="BJ30"/>
    </row>
    <row r="31" spans="1:62" ht="14.25" customHeight="1" x14ac:dyDescent="0.3">
      <c r="A31" s="1" t="s">
        <v>49</v>
      </c>
      <c r="B31" s="2" t="s">
        <v>202</v>
      </c>
      <c r="C31" s="2" t="s">
        <v>179</v>
      </c>
      <c r="D31" s="2" t="s">
        <v>311</v>
      </c>
      <c r="E31" s="2" t="s">
        <v>156</v>
      </c>
      <c r="F31" s="4">
        <v>2354</v>
      </c>
      <c r="G31" s="17">
        <v>15356.05</v>
      </c>
      <c r="H31" s="18">
        <v>1681.4874749999999</v>
      </c>
      <c r="I31" s="19">
        <v>13674.562524999999</v>
      </c>
      <c r="J31" s="12">
        <v>18400</v>
      </c>
      <c r="K31" s="8">
        <v>5210</v>
      </c>
      <c r="L31" s="20">
        <v>550.86140410958899</v>
      </c>
      <c r="M31" s="20">
        <v>245</v>
      </c>
      <c r="N31" s="12">
        <v>107.06</v>
      </c>
      <c r="O31" s="12">
        <v>5529.7578700000004</v>
      </c>
      <c r="P31" s="22">
        <v>0.36010288257722528</v>
      </c>
      <c r="Q31" s="12">
        <v>2759.31</v>
      </c>
      <c r="R31" s="12">
        <v>350</v>
      </c>
      <c r="S31" s="12">
        <v>65.289999999999992</v>
      </c>
      <c r="T31" s="12">
        <v>350</v>
      </c>
      <c r="U31" s="12">
        <v>4.5460917610626685</v>
      </c>
      <c r="V31" s="12">
        <v>1956</v>
      </c>
      <c r="W31" s="12">
        <v>0</v>
      </c>
      <c r="X31" s="12">
        <v>160.26999999999998</v>
      </c>
      <c r="Y31" s="12">
        <v>-996</v>
      </c>
      <c r="Z31" s="21">
        <v>36941.095365870657</v>
      </c>
      <c r="AA31" s="21">
        <v>-23266.532840870655</v>
      </c>
      <c r="AB31" s="21">
        <v>-30429.532840870655</v>
      </c>
      <c r="AC31" s="12"/>
      <c r="AD31" s="12"/>
      <c r="AE31" s="12"/>
      <c r="AF31" s="12"/>
      <c r="AS31" s="24"/>
      <c r="AT31" s="24"/>
      <c r="AU31" s="24"/>
      <c r="AV31" s="24"/>
      <c r="AW31" s="24"/>
      <c r="AX31" s="24"/>
      <c r="AY31" s="24"/>
      <c r="AZ31" s="24"/>
      <c r="BA31" s="24"/>
      <c r="BB31" s="24"/>
      <c r="BC31" s="24"/>
      <c r="BD31" s="24"/>
      <c r="BE31" s="24"/>
      <c r="BF31" s="24"/>
      <c r="BH31"/>
      <c r="BI31"/>
      <c r="BJ31"/>
    </row>
    <row r="32" spans="1:62" ht="14.25" customHeight="1" x14ac:dyDescent="0.3">
      <c r="A32" s="1" t="s">
        <v>57</v>
      </c>
      <c r="B32" s="2" t="s">
        <v>203</v>
      </c>
      <c r="C32" s="2" t="s">
        <v>179</v>
      </c>
      <c r="D32" s="2" t="s">
        <v>311</v>
      </c>
      <c r="E32" s="2" t="s">
        <v>156</v>
      </c>
      <c r="F32" s="4">
        <v>2351</v>
      </c>
      <c r="G32" s="17">
        <v>17445.34</v>
      </c>
      <c r="H32" s="18">
        <v>1910.2647300000001</v>
      </c>
      <c r="I32" s="19">
        <v>15535.075269999999</v>
      </c>
      <c r="J32" s="12">
        <v>18400</v>
      </c>
      <c r="K32" s="8">
        <v>5210</v>
      </c>
      <c r="L32" s="20">
        <v>541.52140410958907</v>
      </c>
      <c r="M32" s="20">
        <v>245</v>
      </c>
      <c r="N32" s="12">
        <v>107.06</v>
      </c>
      <c r="O32" s="12">
        <v>4288.0991172499998</v>
      </c>
      <c r="P32" s="22">
        <v>0.24580198019929678</v>
      </c>
      <c r="Q32" s="12">
        <v>2734.98</v>
      </c>
      <c r="R32" s="12">
        <v>350</v>
      </c>
      <c r="S32" s="12">
        <v>0.91</v>
      </c>
      <c r="T32" s="12">
        <v>350</v>
      </c>
      <c r="U32" s="12">
        <v>4.5402981012142449</v>
      </c>
      <c r="V32" s="12">
        <v>2372</v>
      </c>
      <c r="W32" s="12">
        <v>0</v>
      </c>
      <c r="X32" s="12">
        <v>60.33</v>
      </c>
      <c r="Y32" s="12">
        <v>-996</v>
      </c>
      <c r="Z32" s="21">
        <v>35917.440819460804</v>
      </c>
      <c r="AA32" s="21">
        <v>-20382.365549460803</v>
      </c>
      <c r="AB32" s="21">
        <v>-27545.365549460803</v>
      </c>
      <c r="AC32" s="12"/>
      <c r="AD32" s="12"/>
      <c r="AE32" s="12"/>
      <c r="AF32" s="12"/>
      <c r="AS32" s="24"/>
      <c r="AT32" s="24"/>
      <c r="AU32" s="24"/>
      <c r="AV32" s="24"/>
      <c r="AW32" s="24"/>
      <c r="AX32" s="24"/>
      <c r="AY32" s="24"/>
      <c r="AZ32" s="24"/>
      <c r="BA32" s="24"/>
      <c r="BB32" s="24"/>
      <c r="BC32" s="24"/>
      <c r="BD32" s="24"/>
      <c r="BE32" s="24"/>
      <c r="BF32" s="24"/>
      <c r="BH32"/>
      <c r="BI32"/>
      <c r="BJ32"/>
    </row>
    <row r="33" spans="1:62" ht="14.25" customHeight="1" x14ac:dyDescent="0.3">
      <c r="A33" s="1" t="s">
        <v>41</v>
      </c>
      <c r="B33" s="2" t="s">
        <v>204</v>
      </c>
      <c r="C33" s="2" t="s">
        <v>178</v>
      </c>
      <c r="D33" s="2" t="s">
        <v>311</v>
      </c>
      <c r="E33" s="2" t="s">
        <v>156</v>
      </c>
      <c r="F33" s="4">
        <v>2349</v>
      </c>
      <c r="G33" s="17">
        <v>10237.880000000001</v>
      </c>
      <c r="H33" s="18">
        <v>1121.0478600000001</v>
      </c>
      <c r="I33" s="19">
        <v>9116.8321400000004</v>
      </c>
      <c r="J33" s="12">
        <v>9200</v>
      </c>
      <c r="K33" s="8">
        <v>5210</v>
      </c>
      <c r="L33" s="20">
        <v>552.05140410958904</v>
      </c>
      <c r="M33" s="20">
        <v>245</v>
      </c>
      <c r="N33" s="12">
        <v>107.06</v>
      </c>
      <c r="O33" s="12">
        <v>6581.7436685000002</v>
      </c>
      <c r="P33" s="22">
        <v>0.64288150168784941</v>
      </c>
      <c r="Q33" s="12">
        <v>3308.22</v>
      </c>
      <c r="R33" s="12">
        <v>575</v>
      </c>
      <c r="S33" s="12">
        <v>291.65999999999997</v>
      </c>
      <c r="T33" s="12">
        <v>575</v>
      </c>
      <c r="U33" s="12">
        <v>4.5364356613152967</v>
      </c>
      <c r="V33" s="12">
        <v>1186</v>
      </c>
      <c r="W33" s="12">
        <v>3411</v>
      </c>
      <c r="X33" s="12">
        <v>1480.9800000000005</v>
      </c>
      <c r="Y33" s="12">
        <v>-996</v>
      </c>
      <c r="Z33" s="21">
        <v>33981.251508270907</v>
      </c>
      <c r="AA33" s="21">
        <v>-24864.419368270908</v>
      </c>
      <c r="AB33" s="21">
        <v>-32027.419368270908</v>
      </c>
      <c r="AC33" s="12"/>
      <c r="AD33" s="12"/>
      <c r="AE33" s="12"/>
      <c r="AF33" s="12"/>
      <c r="AS33" s="24"/>
      <c r="AT33" s="24"/>
      <c r="AU33" s="24"/>
      <c r="AV33" s="24"/>
      <c r="AW33" s="24"/>
      <c r="AX33" s="24"/>
      <c r="AY33" s="24"/>
      <c r="AZ33" s="24"/>
      <c r="BA33" s="24"/>
      <c r="BB33" s="24"/>
      <c r="BC33" s="24"/>
      <c r="BD33" s="24"/>
      <c r="BE33" s="24"/>
      <c r="BF33" s="24"/>
      <c r="BH33"/>
      <c r="BI33"/>
      <c r="BJ33"/>
    </row>
    <row r="34" spans="1:62" ht="14.25" customHeight="1" x14ac:dyDescent="0.3">
      <c r="A34" s="1" t="s">
        <v>35</v>
      </c>
      <c r="B34" s="2" t="s">
        <v>205</v>
      </c>
      <c r="C34" s="2" t="s">
        <v>179</v>
      </c>
      <c r="D34" s="2" t="s">
        <v>311</v>
      </c>
      <c r="E34" s="2" t="s">
        <v>154</v>
      </c>
      <c r="F34" s="4">
        <v>2339</v>
      </c>
      <c r="G34" s="17">
        <v>15529.750000000002</v>
      </c>
      <c r="H34" s="18">
        <v>1700.5076250000002</v>
      </c>
      <c r="I34" s="19">
        <v>13829.242375000002</v>
      </c>
      <c r="J34" s="12">
        <v>18400</v>
      </c>
      <c r="K34" s="8">
        <v>5210</v>
      </c>
      <c r="L34" s="20">
        <v>539.79140410958905</v>
      </c>
      <c r="M34" s="20">
        <v>245</v>
      </c>
      <c r="N34" s="12">
        <v>107.06</v>
      </c>
      <c r="O34" s="12">
        <v>7097.8669547500003</v>
      </c>
      <c r="P34" s="22">
        <v>0.45704965983032564</v>
      </c>
      <c r="Q34" s="12">
        <v>0</v>
      </c>
      <c r="R34" s="12">
        <v>300</v>
      </c>
      <c r="S34" s="12">
        <v>2.27</v>
      </c>
      <c r="T34" s="12">
        <v>300</v>
      </c>
      <c r="U34" s="12">
        <v>36.408010324718035</v>
      </c>
      <c r="V34" s="12">
        <v>5737.68</v>
      </c>
      <c r="W34" s="12">
        <v>6420</v>
      </c>
      <c r="X34" s="12">
        <v>940.81000000000017</v>
      </c>
      <c r="Y34" s="12">
        <v>-996</v>
      </c>
      <c r="Z34" s="21">
        <v>47294.886369184307</v>
      </c>
      <c r="AA34" s="21">
        <v>-33465.643994184305</v>
      </c>
      <c r="AB34" s="21">
        <v>-41333.643994184305</v>
      </c>
      <c r="AC34" s="12"/>
      <c r="AD34" s="12"/>
      <c r="AE34" s="12"/>
      <c r="AF34" s="12"/>
      <c r="AS34" s="24"/>
      <c r="AT34" s="24"/>
      <c r="AU34" s="24"/>
      <c r="AV34" s="24"/>
      <c r="AW34" s="24"/>
      <c r="AX34" s="24"/>
      <c r="AY34" s="24"/>
      <c r="AZ34" s="24"/>
      <c r="BA34" s="24"/>
      <c r="BB34" s="24"/>
      <c r="BC34" s="24"/>
      <c r="BD34" s="24"/>
      <c r="BE34" s="24"/>
      <c r="BF34" s="24"/>
      <c r="BH34"/>
      <c r="BI34"/>
      <c r="BJ34"/>
    </row>
    <row r="35" spans="1:62" ht="14.25" customHeight="1" x14ac:dyDescent="0.3">
      <c r="A35" s="1" t="s">
        <v>31</v>
      </c>
      <c r="B35" s="2" t="s">
        <v>206</v>
      </c>
      <c r="C35" s="2" t="s">
        <v>175</v>
      </c>
      <c r="D35" s="2" t="s">
        <v>312</v>
      </c>
      <c r="E35" s="2" t="s">
        <v>152</v>
      </c>
      <c r="F35" s="4">
        <v>2308</v>
      </c>
      <c r="G35" s="17">
        <v>1228.6800000000003</v>
      </c>
      <c r="H35" s="18">
        <v>134.54046000000002</v>
      </c>
      <c r="I35" s="19">
        <v>1094.1395400000004</v>
      </c>
      <c r="J35" s="12">
        <v>0</v>
      </c>
      <c r="K35" s="8">
        <v>5210</v>
      </c>
      <c r="L35" s="20">
        <v>552.19140410958903</v>
      </c>
      <c r="M35" s="20">
        <v>245</v>
      </c>
      <c r="N35" s="12">
        <v>107.06</v>
      </c>
      <c r="O35" s="12">
        <v>7110.5111577500002</v>
      </c>
      <c r="P35" s="22">
        <v>5.7871139415877186</v>
      </c>
      <c r="Q35" s="12">
        <v>2098.98</v>
      </c>
      <c r="R35" s="12">
        <v>225</v>
      </c>
      <c r="S35" s="12">
        <v>132.73999999999998</v>
      </c>
      <c r="T35" s="12">
        <v>225</v>
      </c>
      <c r="U35" s="12">
        <v>35.925475771461876</v>
      </c>
      <c r="V35" s="12">
        <v>0</v>
      </c>
      <c r="W35" s="12">
        <v>3411</v>
      </c>
      <c r="X35" s="12">
        <v>0</v>
      </c>
      <c r="Y35" s="12">
        <v>-996</v>
      </c>
      <c r="Z35" s="21">
        <v>21311.408037631052</v>
      </c>
      <c r="AA35" s="21">
        <v>-20217.268497631052</v>
      </c>
      <c r="AB35" s="21">
        <v>-28085.268497631052</v>
      </c>
      <c r="AC35" s="12"/>
      <c r="AD35" s="12"/>
      <c r="AE35" s="12"/>
      <c r="AF35" s="12"/>
      <c r="BH35"/>
      <c r="BI35"/>
      <c r="BJ35"/>
    </row>
    <row r="36" spans="1:62" ht="14.25" customHeight="1" x14ac:dyDescent="0.3">
      <c r="A36" s="1" t="s">
        <v>39</v>
      </c>
      <c r="B36" s="2" t="s">
        <v>207</v>
      </c>
      <c r="C36" s="2" t="s">
        <v>180</v>
      </c>
      <c r="D36" s="2" t="s">
        <v>311</v>
      </c>
      <c r="E36" s="2" t="s">
        <v>156</v>
      </c>
      <c r="F36" s="4">
        <v>2285</v>
      </c>
      <c r="G36" s="17">
        <v>16206.070000000002</v>
      </c>
      <c r="H36" s="18">
        <v>1774.5646650000001</v>
      </c>
      <c r="I36" s="19">
        <v>14431.505335000002</v>
      </c>
      <c r="J36" s="12">
        <v>18400</v>
      </c>
      <c r="K36" s="8">
        <v>5210</v>
      </c>
      <c r="L36" s="20">
        <v>555.75140410958898</v>
      </c>
      <c r="M36" s="20">
        <v>245</v>
      </c>
      <c r="N36" s="12">
        <v>107.06</v>
      </c>
      <c r="O36" s="12">
        <v>3955.1879542500001</v>
      </c>
      <c r="P36" s="22">
        <v>0.24405595892464982</v>
      </c>
      <c r="Q36" s="12">
        <v>3617.52</v>
      </c>
      <c r="R36" s="12">
        <v>0</v>
      </c>
      <c r="S36" s="12">
        <v>78.52</v>
      </c>
      <c r="T36" s="12">
        <v>0</v>
      </c>
      <c r="U36" s="12">
        <v>4.4128375845489369</v>
      </c>
      <c r="V36" s="12">
        <v>5323.53</v>
      </c>
      <c r="W36" s="12">
        <v>0</v>
      </c>
      <c r="X36" s="12">
        <v>1001.8699999999998</v>
      </c>
      <c r="Y36" s="12">
        <v>-996</v>
      </c>
      <c r="Z36" s="21">
        <v>39751.852195944135</v>
      </c>
      <c r="AA36" s="21">
        <v>-25320.346860944133</v>
      </c>
      <c r="AB36" s="21">
        <v>-32483.346860944133</v>
      </c>
      <c r="AC36" s="12"/>
      <c r="AD36" s="12"/>
      <c r="AE36" s="12"/>
      <c r="AF36" s="12"/>
      <c r="BH36"/>
      <c r="BI36"/>
      <c r="BJ36"/>
    </row>
    <row r="37" spans="1:62" ht="14.25" customHeight="1" x14ac:dyDescent="0.3">
      <c r="A37" s="1" t="s">
        <v>34</v>
      </c>
      <c r="B37" s="2" t="s">
        <v>208</v>
      </c>
      <c r="C37" s="2" t="s">
        <v>180</v>
      </c>
      <c r="D37" s="2" t="s">
        <v>311</v>
      </c>
      <c r="E37" s="2" t="s">
        <v>156</v>
      </c>
      <c r="F37" s="4">
        <v>2278</v>
      </c>
      <c r="G37" s="17">
        <v>18168.740000000002</v>
      </c>
      <c r="H37" s="18">
        <v>1989.4770300000002</v>
      </c>
      <c r="I37" s="19">
        <v>16179.262970000002</v>
      </c>
      <c r="J37" s="12">
        <v>18400</v>
      </c>
      <c r="K37" s="8">
        <v>5210</v>
      </c>
      <c r="L37" s="20">
        <v>540.64140410958896</v>
      </c>
      <c r="M37" s="20">
        <v>245</v>
      </c>
      <c r="N37" s="12">
        <v>107.06</v>
      </c>
      <c r="O37" s="12">
        <v>4376.9652712500001</v>
      </c>
      <c r="P37" s="22">
        <v>0.24090637387347719</v>
      </c>
      <c r="Q37" s="12">
        <v>4229.96</v>
      </c>
      <c r="R37" s="12">
        <v>0</v>
      </c>
      <c r="S37" s="12">
        <v>60.75</v>
      </c>
      <c r="T37" s="12">
        <v>0</v>
      </c>
      <c r="U37" s="12">
        <v>4.399319044902616</v>
      </c>
      <c r="V37" s="12">
        <v>3350</v>
      </c>
      <c r="W37" s="12">
        <v>0</v>
      </c>
      <c r="X37" s="12">
        <v>1156.06</v>
      </c>
      <c r="Y37" s="12">
        <v>-996</v>
      </c>
      <c r="Z37" s="21">
        <v>38933.835994404493</v>
      </c>
      <c r="AA37" s="21">
        <v>-22754.57302440449</v>
      </c>
      <c r="AB37" s="21">
        <v>-29917.57302440449</v>
      </c>
      <c r="AC37" s="12"/>
      <c r="AD37" s="12"/>
      <c r="AE37" s="12"/>
      <c r="AF37" s="12"/>
      <c r="BH37"/>
      <c r="BI37"/>
      <c r="BJ37"/>
    </row>
    <row r="38" spans="1:62" ht="14.25" customHeight="1" x14ac:dyDescent="0.3">
      <c r="A38" s="1" t="s">
        <v>24</v>
      </c>
      <c r="B38" s="2" t="s">
        <v>209</v>
      </c>
      <c r="C38" s="2" t="s">
        <v>176</v>
      </c>
      <c r="D38" s="2" t="s">
        <v>312</v>
      </c>
      <c r="E38" s="2" t="s">
        <v>156</v>
      </c>
      <c r="F38" s="4">
        <v>2277</v>
      </c>
      <c r="G38" s="17">
        <v>0</v>
      </c>
      <c r="H38" s="18">
        <v>0</v>
      </c>
      <c r="I38" s="19">
        <v>0</v>
      </c>
      <c r="J38" s="12">
        <v>9200</v>
      </c>
      <c r="K38" s="8">
        <v>5210</v>
      </c>
      <c r="L38" s="20">
        <v>61.081404109589037</v>
      </c>
      <c r="M38" s="20">
        <v>245</v>
      </c>
      <c r="N38" s="12">
        <v>107.06</v>
      </c>
      <c r="O38" s="12">
        <v>7170.3531185000002</v>
      </c>
      <c r="P38" s="22" t="s">
        <v>167</v>
      </c>
      <c r="Q38" s="12">
        <v>2568.2200000000003</v>
      </c>
      <c r="R38" s="12">
        <v>450</v>
      </c>
      <c r="S38" s="12">
        <v>0.91</v>
      </c>
      <c r="T38" s="12">
        <v>450</v>
      </c>
      <c r="U38" s="12">
        <v>4.3973878249531415</v>
      </c>
      <c r="V38" s="12">
        <v>218</v>
      </c>
      <c r="W38" s="12">
        <v>0</v>
      </c>
      <c r="X38" s="12">
        <v>0</v>
      </c>
      <c r="Y38" s="12">
        <v>-996</v>
      </c>
      <c r="Z38" s="21">
        <v>26938.021910434541</v>
      </c>
      <c r="AA38" s="21">
        <v>-26938.021910434541</v>
      </c>
      <c r="AB38" s="21">
        <v>-34101.021910434545</v>
      </c>
      <c r="AC38" s="12"/>
      <c r="AD38" s="12"/>
      <c r="AE38" s="12"/>
      <c r="AF38" s="12"/>
      <c r="BH38"/>
      <c r="BI38"/>
      <c r="BJ38"/>
    </row>
    <row r="39" spans="1:62" ht="14.25" customHeight="1" x14ac:dyDescent="0.3">
      <c r="A39" s="1" t="s">
        <v>21</v>
      </c>
      <c r="B39" s="2" t="s">
        <v>210</v>
      </c>
      <c r="C39" s="2" t="s">
        <v>178</v>
      </c>
      <c r="D39" s="2" t="s">
        <v>311</v>
      </c>
      <c r="E39" s="2" t="s">
        <v>156</v>
      </c>
      <c r="F39" s="4">
        <v>2273</v>
      </c>
      <c r="G39" s="17">
        <v>10172.369999999999</v>
      </c>
      <c r="H39" s="18">
        <v>1113.874515</v>
      </c>
      <c r="I39" s="19">
        <v>9058.4954849999995</v>
      </c>
      <c r="J39" s="12">
        <v>9200</v>
      </c>
      <c r="K39" s="8">
        <v>5210</v>
      </c>
      <c r="L39" s="20">
        <v>551.95140410958902</v>
      </c>
      <c r="M39" s="20">
        <v>245</v>
      </c>
      <c r="N39" s="12">
        <v>107.06</v>
      </c>
      <c r="O39" s="12">
        <v>6685.1070552499996</v>
      </c>
      <c r="P39" s="22">
        <v>0.65718284482868794</v>
      </c>
      <c r="Q39" s="12">
        <v>4943.34</v>
      </c>
      <c r="R39" s="12">
        <v>350</v>
      </c>
      <c r="S39" s="12">
        <v>19.63</v>
      </c>
      <c r="T39" s="12">
        <v>350</v>
      </c>
      <c r="U39" s="12">
        <v>4.3896629451552442</v>
      </c>
      <c r="V39" s="12">
        <v>0</v>
      </c>
      <c r="W39" s="12">
        <v>0</v>
      </c>
      <c r="X39" s="12">
        <v>1396.5100000000002</v>
      </c>
      <c r="Y39" s="12">
        <v>-996</v>
      </c>
      <c r="Z39" s="21">
        <v>30315.988122304745</v>
      </c>
      <c r="AA39" s="21">
        <v>-21257.492637304746</v>
      </c>
      <c r="AB39" s="21">
        <v>-28420.492637304746</v>
      </c>
      <c r="AC39" s="12"/>
      <c r="AD39" s="12"/>
      <c r="AE39" s="12"/>
      <c r="AF39" s="12"/>
      <c r="BH39"/>
      <c r="BI39"/>
    </row>
    <row r="40" spans="1:62" ht="14.25" customHeight="1" x14ac:dyDescent="0.3">
      <c r="A40" s="1" t="s">
        <v>50</v>
      </c>
      <c r="B40" s="2" t="s">
        <v>211</v>
      </c>
      <c r="C40" s="2" t="s">
        <v>175</v>
      </c>
      <c r="D40" s="2" t="s">
        <v>312</v>
      </c>
      <c r="E40" s="2" t="s">
        <v>152</v>
      </c>
      <c r="F40" s="4">
        <v>2253</v>
      </c>
      <c r="G40" s="17">
        <v>1029.06</v>
      </c>
      <c r="H40" s="18">
        <v>112.68207</v>
      </c>
      <c r="I40" s="19">
        <v>916.37792999999999</v>
      </c>
      <c r="J40" s="12">
        <v>0</v>
      </c>
      <c r="K40" s="8">
        <v>5210</v>
      </c>
      <c r="L40" s="20">
        <v>555.32140410958903</v>
      </c>
      <c r="M40" s="20">
        <v>245</v>
      </c>
      <c r="N40" s="12">
        <v>107.06</v>
      </c>
      <c r="O40" s="12">
        <v>7077.9691807500003</v>
      </c>
      <c r="P40" s="22">
        <v>6.8780918321089155</v>
      </c>
      <c r="Q40" s="12">
        <v>2286.38</v>
      </c>
      <c r="R40" s="12">
        <v>1486.67</v>
      </c>
      <c r="S40" s="12">
        <v>0</v>
      </c>
      <c r="T40" s="12">
        <v>1486.67</v>
      </c>
      <c r="U40" s="12">
        <v>35.069366080200872</v>
      </c>
      <c r="V40" s="12">
        <v>2372</v>
      </c>
      <c r="W40" s="12">
        <v>0</v>
      </c>
      <c r="X40" s="12">
        <v>0</v>
      </c>
      <c r="Y40" s="12">
        <v>-996</v>
      </c>
      <c r="Z40" s="21">
        <v>22820.139950939789</v>
      </c>
      <c r="AA40" s="21">
        <v>-21903.76202093979</v>
      </c>
      <c r="AB40" s="21">
        <v>-29771.76202093979</v>
      </c>
      <c r="AC40" s="12"/>
      <c r="AD40" s="12"/>
      <c r="AE40" s="12"/>
      <c r="AF40" s="12"/>
      <c r="BH40"/>
      <c r="BI40"/>
    </row>
    <row r="41" spans="1:62" ht="14.25" customHeight="1" x14ac:dyDescent="0.3">
      <c r="A41" s="1" t="s">
        <v>149</v>
      </c>
      <c r="B41" s="2" t="s">
        <v>212</v>
      </c>
      <c r="C41" s="2" t="s">
        <v>176</v>
      </c>
      <c r="D41" s="2" t="s">
        <v>312</v>
      </c>
      <c r="E41" s="2" t="s">
        <v>156</v>
      </c>
      <c r="F41" s="4">
        <v>2210</v>
      </c>
      <c r="G41" s="17">
        <v>0</v>
      </c>
      <c r="H41" s="18">
        <v>0</v>
      </c>
      <c r="I41" s="19">
        <v>0</v>
      </c>
      <c r="J41" s="12">
        <v>9200</v>
      </c>
      <c r="K41" s="8">
        <v>5210</v>
      </c>
      <c r="L41" s="20">
        <v>61.081404109589037</v>
      </c>
      <c r="M41" s="20">
        <v>245</v>
      </c>
      <c r="N41" s="12">
        <v>107.06</v>
      </c>
      <c r="O41" s="12">
        <v>8295.2610877499992</v>
      </c>
      <c r="P41" s="22" t="s">
        <v>167</v>
      </c>
      <c r="Q41" s="12">
        <v>2926.24</v>
      </c>
      <c r="R41" s="12">
        <v>0</v>
      </c>
      <c r="S41" s="12">
        <v>2.27</v>
      </c>
      <c r="T41" s="12">
        <v>0</v>
      </c>
      <c r="U41" s="12">
        <v>4.267996088338359</v>
      </c>
      <c r="V41" s="12">
        <v>5722</v>
      </c>
      <c r="W41" s="12">
        <v>0</v>
      </c>
      <c r="X41" s="12">
        <v>0</v>
      </c>
      <c r="Y41" s="12">
        <v>-996</v>
      </c>
      <c r="Z41" s="21">
        <v>33026.180487947924</v>
      </c>
      <c r="AA41" s="21">
        <v>-33026.180487947924</v>
      </c>
      <c r="AB41" s="21">
        <v>-40189.180487947924</v>
      </c>
      <c r="AC41" s="12"/>
      <c r="AD41" s="12"/>
      <c r="AE41" s="12"/>
      <c r="AF41" s="12"/>
      <c r="BH41"/>
      <c r="BI41"/>
    </row>
    <row r="42" spans="1:62" ht="14.25" customHeight="1" x14ac:dyDescent="0.3">
      <c r="A42" s="1" t="s">
        <v>36</v>
      </c>
      <c r="B42" s="2" t="s">
        <v>213</v>
      </c>
      <c r="C42" s="2" t="s">
        <v>180</v>
      </c>
      <c r="D42" s="2" t="s">
        <v>311</v>
      </c>
      <c r="E42" s="2" t="s">
        <v>156</v>
      </c>
      <c r="F42" s="4">
        <v>2206</v>
      </c>
      <c r="G42" s="17">
        <v>16352.09</v>
      </c>
      <c r="H42" s="18">
        <v>1790.5538550000001</v>
      </c>
      <c r="I42" s="19">
        <v>14561.536145</v>
      </c>
      <c r="J42" s="12">
        <v>18400</v>
      </c>
      <c r="K42" s="8">
        <v>5210</v>
      </c>
      <c r="L42" s="20">
        <v>691.79140410958894</v>
      </c>
      <c r="M42" s="20">
        <v>245</v>
      </c>
      <c r="N42" s="12">
        <v>107.06</v>
      </c>
      <c r="O42" s="12">
        <v>4172.6860825000003</v>
      </c>
      <c r="P42" s="22">
        <v>0.25517753892621681</v>
      </c>
      <c r="Q42" s="12">
        <v>0</v>
      </c>
      <c r="R42" s="12">
        <v>200</v>
      </c>
      <c r="S42" s="12">
        <v>39.26</v>
      </c>
      <c r="T42" s="12">
        <v>200</v>
      </c>
      <c r="U42" s="12">
        <v>4.2602712085404617</v>
      </c>
      <c r="V42" s="12">
        <v>2372</v>
      </c>
      <c r="W42" s="12">
        <v>6420</v>
      </c>
      <c r="X42" s="12">
        <v>872.57999999999981</v>
      </c>
      <c r="Y42" s="12">
        <v>-996</v>
      </c>
      <c r="Z42" s="21">
        <v>40187.637757818127</v>
      </c>
      <c r="AA42" s="21">
        <v>-25626.101612818129</v>
      </c>
      <c r="AB42" s="21">
        <v>-32789.101612818129</v>
      </c>
      <c r="AC42" s="12"/>
      <c r="AD42" s="12"/>
      <c r="AE42" s="12"/>
      <c r="AF42" s="12"/>
      <c r="BH42"/>
      <c r="BI42"/>
    </row>
    <row r="43" spans="1:62" ht="14.25" customHeight="1" x14ac:dyDescent="0.3">
      <c r="A43" s="1" t="s">
        <v>140</v>
      </c>
      <c r="B43" s="2" t="s">
        <v>214</v>
      </c>
      <c r="C43" s="2" t="s">
        <v>179</v>
      </c>
      <c r="D43" s="2" t="s">
        <v>311</v>
      </c>
      <c r="E43" s="2" t="s">
        <v>156</v>
      </c>
      <c r="F43" s="4">
        <v>2193</v>
      </c>
      <c r="G43" s="17">
        <v>13898.500000000002</v>
      </c>
      <c r="H43" s="18">
        <v>1521.8857500000001</v>
      </c>
      <c r="I43" s="19">
        <v>12376.614250000002</v>
      </c>
      <c r="J43" s="12">
        <v>18400</v>
      </c>
      <c r="K43" s="8">
        <v>5210</v>
      </c>
      <c r="L43" s="20">
        <v>552.05140410958904</v>
      </c>
      <c r="M43" s="20">
        <v>245</v>
      </c>
      <c r="N43" s="12">
        <v>107.06</v>
      </c>
      <c r="O43" s="12">
        <v>5426.6025774999998</v>
      </c>
      <c r="P43" s="22">
        <v>0.39044519750332762</v>
      </c>
      <c r="Q43" s="12">
        <v>1382</v>
      </c>
      <c r="R43" s="12">
        <v>0</v>
      </c>
      <c r="S43" s="12">
        <v>0</v>
      </c>
      <c r="T43" s="12">
        <v>0</v>
      </c>
      <c r="U43" s="12">
        <v>4.2351653491972945</v>
      </c>
      <c r="V43" s="12">
        <v>2372</v>
      </c>
      <c r="W43" s="12">
        <v>3411</v>
      </c>
      <c r="X43" s="12">
        <v>539.32999999999993</v>
      </c>
      <c r="Y43" s="12">
        <v>-996</v>
      </c>
      <c r="Z43" s="21">
        <v>38902.279146958783</v>
      </c>
      <c r="AA43" s="21">
        <v>-26525.66489695878</v>
      </c>
      <c r="AB43" s="21">
        <v>-33688.664896958784</v>
      </c>
      <c r="AC43" s="12"/>
      <c r="AD43" s="12"/>
      <c r="AE43" s="12"/>
      <c r="AF43" s="12"/>
      <c r="BH43"/>
      <c r="BI43"/>
    </row>
    <row r="44" spans="1:62" ht="14.25" customHeight="1" x14ac:dyDescent="0.3">
      <c r="A44" s="1" t="s">
        <v>44</v>
      </c>
      <c r="B44" s="2" t="s">
        <v>215</v>
      </c>
      <c r="C44" s="2" t="s">
        <v>175</v>
      </c>
      <c r="D44" s="2" t="s">
        <v>312</v>
      </c>
      <c r="E44" s="2" t="s">
        <v>153</v>
      </c>
      <c r="F44" s="4">
        <v>2183</v>
      </c>
      <c r="G44" s="17">
        <v>386.74</v>
      </c>
      <c r="H44" s="18">
        <v>42.348030000000001</v>
      </c>
      <c r="I44" s="19">
        <v>344.39197000000001</v>
      </c>
      <c r="J44" s="12">
        <v>0</v>
      </c>
      <c r="K44" s="8">
        <v>5210</v>
      </c>
      <c r="L44" s="20">
        <v>548.86140410958899</v>
      </c>
      <c r="M44" s="20">
        <v>245</v>
      </c>
      <c r="N44" s="12">
        <v>107.06</v>
      </c>
      <c r="O44" s="12">
        <v>4217.8623532499996</v>
      </c>
      <c r="P44" s="22">
        <v>10.906196290143248</v>
      </c>
      <c r="Q44" s="12">
        <v>2081.0100000000002</v>
      </c>
      <c r="R44" s="12">
        <v>477.22</v>
      </c>
      <c r="S44" s="12">
        <v>0</v>
      </c>
      <c r="T44" s="12">
        <v>477.22</v>
      </c>
      <c r="U44" s="12">
        <v>33.979771927686862</v>
      </c>
      <c r="V44" s="12">
        <v>0</v>
      </c>
      <c r="W44" s="12">
        <v>0</v>
      </c>
      <c r="X44" s="12">
        <v>0</v>
      </c>
      <c r="Y44" s="12">
        <v>-996</v>
      </c>
      <c r="Z44" s="21">
        <v>14651.213529287277</v>
      </c>
      <c r="AA44" s="21">
        <v>-14306.821559287277</v>
      </c>
      <c r="AB44" s="21">
        <v>-21469.821559287277</v>
      </c>
      <c r="AC44" s="12"/>
      <c r="AD44" s="12"/>
      <c r="AE44" s="12"/>
      <c r="AF44" s="12"/>
      <c r="BH44"/>
      <c r="BI44"/>
    </row>
    <row r="45" spans="1:62" ht="14.25" customHeight="1" x14ac:dyDescent="0.3">
      <c r="A45" s="1" t="s">
        <v>25</v>
      </c>
      <c r="B45" s="2" t="s">
        <v>216</v>
      </c>
      <c r="C45" s="2" t="s">
        <v>180</v>
      </c>
      <c r="D45" s="2" t="s">
        <v>311</v>
      </c>
      <c r="E45" s="2" t="s">
        <v>156</v>
      </c>
      <c r="F45" s="4">
        <v>2164</v>
      </c>
      <c r="G45" s="17">
        <v>13112.039999999999</v>
      </c>
      <c r="H45" s="18">
        <v>1435.76838</v>
      </c>
      <c r="I45" s="19">
        <v>11676.27162</v>
      </c>
      <c r="J45" s="12">
        <v>18400</v>
      </c>
      <c r="K45" s="8">
        <v>5210</v>
      </c>
      <c r="L45" s="20">
        <v>540.08140410958902</v>
      </c>
      <c r="M45" s="20">
        <v>245</v>
      </c>
      <c r="N45" s="12">
        <v>107.06</v>
      </c>
      <c r="O45" s="12">
        <v>2107.4398345</v>
      </c>
      <c r="P45" s="22">
        <v>0.16072554953310089</v>
      </c>
      <c r="Q45" s="12">
        <v>3628.75</v>
      </c>
      <c r="R45" s="12">
        <v>225</v>
      </c>
      <c r="S45" s="12">
        <v>39.26</v>
      </c>
      <c r="T45" s="12">
        <v>225</v>
      </c>
      <c r="U45" s="12">
        <v>4.1791599706625382</v>
      </c>
      <c r="V45" s="12">
        <v>978</v>
      </c>
      <c r="W45" s="12">
        <v>0</v>
      </c>
      <c r="X45" s="12">
        <v>887.31</v>
      </c>
      <c r="Y45" s="12">
        <v>-996</v>
      </c>
      <c r="Z45" s="21">
        <v>33850.080398580249</v>
      </c>
      <c r="AA45" s="21">
        <v>-22173.808778580249</v>
      </c>
      <c r="AB45" s="21">
        <v>-29336.808778580249</v>
      </c>
      <c r="AC45" s="12"/>
      <c r="AD45" s="12"/>
      <c r="AE45" s="12"/>
      <c r="AF45" s="12"/>
      <c r="BH45"/>
      <c r="BI45"/>
    </row>
    <row r="46" spans="1:62" ht="14.25" customHeight="1" x14ac:dyDescent="0.3">
      <c r="A46" s="1" t="s">
        <v>143</v>
      </c>
      <c r="B46" s="2" t="s">
        <v>217</v>
      </c>
      <c r="C46" s="2" t="s">
        <v>176</v>
      </c>
      <c r="D46" s="2" t="s">
        <v>312</v>
      </c>
      <c r="E46" s="2" t="s">
        <v>155</v>
      </c>
      <c r="F46" s="4">
        <v>2160</v>
      </c>
      <c r="G46" s="17">
        <v>0</v>
      </c>
      <c r="H46" s="18">
        <v>0</v>
      </c>
      <c r="I46" s="19">
        <v>0</v>
      </c>
      <c r="J46" s="12">
        <v>9200</v>
      </c>
      <c r="K46" s="8">
        <v>5210</v>
      </c>
      <c r="L46" s="20">
        <v>61.081404109589037</v>
      </c>
      <c r="M46" s="20">
        <v>245</v>
      </c>
      <c r="N46" s="12">
        <v>107.06</v>
      </c>
      <c r="O46" s="12">
        <v>5288.2496289999999</v>
      </c>
      <c r="P46" s="22" t="s">
        <v>167</v>
      </c>
      <c r="Q46" s="12">
        <v>3205.85</v>
      </c>
      <c r="R46" s="12">
        <v>225</v>
      </c>
      <c r="S46" s="12">
        <v>19.63</v>
      </c>
      <c r="T46" s="12">
        <v>225</v>
      </c>
      <c r="U46" s="12">
        <v>4.17143509086464</v>
      </c>
      <c r="V46" s="12">
        <v>0</v>
      </c>
      <c r="W46" s="12">
        <v>0</v>
      </c>
      <c r="X46" s="12">
        <v>0</v>
      </c>
      <c r="Y46" s="12">
        <v>-996</v>
      </c>
      <c r="Z46" s="21">
        <v>25044.042468200452</v>
      </c>
      <c r="AA46" s="21">
        <v>-25044.042468200452</v>
      </c>
      <c r="AB46" s="21">
        <v>-32207.042468200452</v>
      </c>
      <c r="AC46" s="12"/>
      <c r="AD46" s="12"/>
      <c r="AE46" s="12"/>
      <c r="AF46" s="12"/>
      <c r="BH46"/>
      <c r="BI46"/>
    </row>
    <row r="47" spans="1:62" ht="14.25" customHeight="1" x14ac:dyDescent="0.3">
      <c r="A47" s="1" t="s">
        <v>147</v>
      </c>
      <c r="B47" s="2" t="s">
        <v>218</v>
      </c>
      <c r="C47" s="2" t="s">
        <v>175</v>
      </c>
      <c r="D47" s="2" t="s">
        <v>312</v>
      </c>
      <c r="E47" s="2" t="s">
        <v>152</v>
      </c>
      <c r="F47" s="4">
        <v>2148</v>
      </c>
      <c r="G47" s="17">
        <v>1041.6599999999999</v>
      </c>
      <c r="H47" s="18">
        <v>114.06176999999998</v>
      </c>
      <c r="I47" s="19">
        <v>927.59822999999983</v>
      </c>
      <c r="J47" s="12">
        <v>0</v>
      </c>
      <c r="K47" s="8">
        <v>5210</v>
      </c>
      <c r="L47" s="20">
        <v>539.98140410958899</v>
      </c>
      <c r="M47" s="20">
        <v>245</v>
      </c>
      <c r="N47" s="12">
        <v>107.06</v>
      </c>
      <c r="O47" s="12">
        <v>5400.0457875000002</v>
      </c>
      <c r="P47" s="22">
        <v>5.1840771340936591</v>
      </c>
      <c r="Q47" s="12">
        <v>1755.14</v>
      </c>
      <c r="R47" s="12">
        <v>1711.67</v>
      </c>
      <c r="S47" s="12">
        <v>2.27</v>
      </c>
      <c r="T47" s="12">
        <v>1711.67</v>
      </c>
      <c r="U47" s="12">
        <v>33.434974851429857</v>
      </c>
      <c r="V47" s="12">
        <v>0</v>
      </c>
      <c r="W47" s="12">
        <v>0</v>
      </c>
      <c r="X47" s="12">
        <v>0</v>
      </c>
      <c r="Y47" s="12">
        <v>-996</v>
      </c>
      <c r="Z47" s="21">
        <v>18674.272166461018</v>
      </c>
      <c r="AA47" s="21">
        <v>-17746.673936461018</v>
      </c>
      <c r="AB47" s="21">
        <v>-25614.673936461018</v>
      </c>
      <c r="AC47" s="12"/>
      <c r="AD47" s="12"/>
      <c r="AE47" s="12"/>
      <c r="AF47" s="12"/>
      <c r="BH47"/>
      <c r="BI47"/>
    </row>
    <row r="48" spans="1:62" ht="14.25" customHeight="1" x14ac:dyDescent="0.3">
      <c r="A48" s="1" t="s">
        <v>62</v>
      </c>
      <c r="B48" s="2" t="s">
        <v>219</v>
      </c>
      <c r="C48" s="2" t="s">
        <v>176</v>
      </c>
      <c r="D48" s="2" t="s">
        <v>312</v>
      </c>
      <c r="E48" s="2" t="s">
        <v>156</v>
      </c>
      <c r="F48" s="4">
        <v>2146</v>
      </c>
      <c r="G48" s="17">
        <v>0</v>
      </c>
      <c r="H48" s="18">
        <v>0</v>
      </c>
      <c r="I48" s="19">
        <v>0</v>
      </c>
      <c r="J48" s="12">
        <v>9200</v>
      </c>
      <c r="K48" s="8">
        <v>5210</v>
      </c>
      <c r="L48" s="20">
        <v>61.081404109589037</v>
      </c>
      <c r="M48" s="20">
        <v>245</v>
      </c>
      <c r="N48" s="12">
        <v>107.06</v>
      </c>
      <c r="O48" s="12">
        <v>5150.6894204999999</v>
      </c>
      <c r="P48" s="22" t="s">
        <v>167</v>
      </c>
      <c r="Q48" s="12">
        <v>0</v>
      </c>
      <c r="R48" s="12">
        <v>0</v>
      </c>
      <c r="S48" s="12">
        <v>0</v>
      </c>
      <c r="T48" s="12">
        <v>0</v>
      </c>
      <c r="U48" s="12">
        <v>4.1443980115719992</v>
      </c>
      <c r="V48" s="12">
        <v>0</v>
      </c>
      <c r="W48" s="12">
        <v>0</v>
      </c>
      <c r="X48" s="12">
        <v>0</v>
      </c>
      <c r="Y48" s="12">
        <v>-996</v>
      </c>
      <c r="Z48" s="21">
        <v>21230.97522262116</v>
      </c>
      <c r="AA48" s="21">
        <v>-21230.97522262116</v>
      </c>
      <c r="AB48" s="21">
        <v>-28393.97522262116</v>
      </c>
      <c r="AC48" s="12"/>
      <c r="AD48" s="12"/>
      <c r="AE48" s="12"/>
      <c r="AF48" s="12"/>
      <c r="BH48"/>
      <c r="BI48"/>
    </row>
    <row r="49" spans="1:61" ht="14.25" customHeight="1" x14ac:dyDescent="0.3">
      <c r="A49" s="1" t="s">
        <v>26</v>
      </c>
      <c r="B49" s="2" t="s">
        <v>220</v>
      </c>
      <c r="C49" s="2" t="s">
        <v>176</v>
      </c>
      <c r="D49" s="2" t="s">
        <v>312</v>
      </c>
      <c r="E49" s="2" t="s">
        <v>156</v>
      </c>
      <c r="F49" s="4">
        <v>2141</v>
      </c>
      <c r="G49" s="17">
        <v>0</v>
      </c>
      <c r="H49" s="18">
        <v>0</v>
      </c>
      <c r="I49" s="19">
        <v>0</v>
      </c>
      <c r="J49" s="12">
        <v>9200</v>
      </c>
      <c r="K49" s="8">
        <v>5210</v>
      </c>
      <c r="L49" s="20">
        <v>61.081404109589037</v>
      </c>
      <c r="M49" s="20">
        <v>245</v>
      </c>
      <c r="N49" s="12">
        <v>107.06</v>
      </c>
      <c r="O49" s="12">
        <v>4117.6699264999997</v>
      </c>
      <c r="P49" s="22" t="s">
        <v>167</v>
      </c>
      <c r="Q49" s="12">
        <v>2892.51</v>
      </c>
      <c r="R49" s="12">
        <v>225</v>
      </c>
      <c r="S49" s="12">
        <v>135.38</v>
      </c>
      <c r="T49" s="12">
        <v>225</v>
      </c>
      <c r="U49" s="12">
        <v>4.1347419118246274</v>
      </c>
      <c r="V49" s="12">
        <v>2372</v>
      </c>
      <c r="W49" s="12">
        <v>0</v>
      </c>
      <c r="X49" s="12">
        <v>0</v>
      </c>
      <c r="Y49" s="12">
        <v>-996</v>
      </c>
      <c r="Z49" s="21">
        <v>26047.836072521412</v>
      </c>
      <c r="AA49" s="21">
        <v>-26047.836072521412</v>
      </c>
      <c r="AB49" s="21">
        <v>-33210.836072521415</v>
      </c>
      <c r="AC49" s="12"/>
      <c r="AD49" s="12"/>
      <c r="AE49" s="12"/>
      <c r="AF49" s="12"/>
      <c r="BH49"/>
      <c r="BI49"/>
    </row>
    <row r="50" spans="1:61" ht="14.25" customHeight="1" x14ac:dyDescent="0.3">
      <c r="A50" s="1" t="s">
        <v>136</v>
      </c>
      <c r="B50" s="2" t="s">
        <v>221</v>
      </c>
      <c r="C50" s="2" t="s">
        <v>175</v>
      </c>
      <c r="D50" s="2" t="s">
        <v>312</v>
      </c>
      <c r="E50" s="2" t="s">
        <v>153</v>
      </c>
      <c r="F50" s="4">
        <v>2113</v>
      </c>
      <c r="G50" s="17">
        <v>387.28999999999996</v>
      </c>
      <c r="H50" s="18">
        <v>42.408254999999997</v>
      </c>
      <c r="I50" s="19">
        <v>344.88174499999997</v>
      </c>
      <c r="J50" s="12">
        <v>0</v>
      </c>
      <c r="K50" s="8">
        <v>5210</v>
      </c>
      <c r="L50" s="20">
        <v>555.32140410958903</v>
      </c>
      <c r="M50" s="20">
        <v>245</v>
      </c>
      <c r="N50" s="12">
        <v>107.06</v>
      </c>
      <c r="O50" s="12">
        <v>4452.0476584999997</v>
      </c>
      <c r="P50" s="22">
        <v>11.495385004776782</v>
      </c>
      <c r="Q50" s="12">
        <v>2050.44</v>
      </c>
      <c r="R50" s="12">
        <v>0</v>
      </c>
      <c r="S50" s="12">
        <v>0</v>
      </c>
      <c r="T50" s="12">
        <v>0</v>
      </c>
      <c r="U50" s="12">
        <v>32.890177775172852</v>
      </c>
      <c r="V50" s="12">
        <v>972</v>
      </c>
      <c r="W50" s="12">
        <v>0</v>
      </c>
      <c r="X50" s="12">
        <v>0</v>
      </c>
      <c r="Y50" s="12">
        <v>-996</v>
      </c>
      <c r="Z50" s="21">
        <v>14877.759240384761</v>
      </c>
      <c r="AA50" s="21">
        <v>-14532.877495384761</v>
      </c>
      <c r="AB50" s="21">
        <v>-21695.877495384761</v>
      </c>
      <c r="AC50" s="12"/>
      <c r="AD50" s="12"/>
      <c r="AE50" s="12"/>
      <c r="AF50" s="12"/>
      <c r="BH50"/>
      <c r="BI50"/>
    </row>
    <row r="51" spans="1:61" ht="14.25" customHeight="1" x14ac:dyDescent="0.3">
      <c r="A51" s="1" t="s">
        <v>137</v>
      </c>
      <c r="B51" s="2" t="s">
        <v>222</v>
      </c>
      <c r="C51" s="2" t="s">
        <v>180</v>
      </c>
      <c r="D51" s="2" t="s">
        <v>311</v>
      </c>
      <c r="E51" s="2" t="s">
        <v>153</v>
      </c>
      <c r="F51" s="4">
        <v>2101</v>
      </c>
      <c r="G51" s="17">
        <v>14164.61</v>
      </c>
      <c r="H51" s="18">
        <v>1551.024795</v>
      </c>
      <c r="I51" s="19">
        <v>12613.585205000001</v>
      </c>
      <c r="J51" s="12">
        <v>18400</v>
      </c>
      <c r="K51" s="8">
        <v>5210</v>
      </c>
      <c r="L51" s="20">
        <v>691.79140410958905</v>
      </c>
      <c r="M51" s="20">
        <v>245</v>
      </c>
      <c r="N51" s="12">
        <v>107.06</v>
      </c>
      <c r="O51" s="12">
        <v>4852.5894527500004</v>
      </c>
      <c r="P51" s="22">
        <v>0.34258546142463508</v>
      </c>
      <c r="Q51" s="12">
        <v>0</v>
      </c>
      <c r="R51" s="12">
        <v>0</v>
      </c>
      <c r="S51" s="12">
        <v>39.26</v>
      </c>
      <c r="T51" s="12">
        <v>0</v>
      </c>
      <c r="U51" s="12">
        <v>32.703390206170454</v>
      </c>
      <c r="V51" s="12">
        <v>0</v>
      </c>
      <c r="W51" s="12">
        <v>6420</v>
      </c>
      <c r="X51" s="12">
        <v>961.20999999999992</v>
      </c>
      <c r="Y51" s="12">
        <v>-996</v>
      </c>
      <c r="Z51" s="21">
        <v>38212.614247065758</v>
      </c>
      <c r="AA51" s="21">
        <v>-25599.029042065755</v>
      </c>
      <c r="AB51" s="21">
        <v>-32762.029042065755</v>
      </c>
      <c r="AC51" s="12"/>
      <c r="AD51" s="12"/>
      <c r="AE51" s="12"/>
      <c r="AF51" s="12"/>
      <c r="BH51"/>
      <c r="BI51"/>
    </row>
    <row r="52" spans="1:61" ht="14.25" customHeight="1" x14ac:dyDescent="0.3">
      <c r="A52" s="1" t="s">
        <v>142</v>
      </c>
      <c r="B52" s="2" t="s">
        <v>223</v>
      </c>
      <c r="C52" s="2" t="s">
        <v>180</v>
      </c>
      <c r="D52" s="2" t="s">
        <v>311</v>
      </c>
      <c r="E52" s="2" t="s">
        <v>156</v>
      </c>
      <c r="F52" s="4">
        <v>2088</v>
      </c>
      <c r="G52" s="17">
        <v>14943.380000000001</v>
      </c>
      <c r="H52" s="18">
        <v>1636.3001100000001</v>
      </c>
      <c r="I52" s="19">
        <v>13307.079890000001</v>
      </c>
      <c r="J52" s="12">
        <v>18400</v>
      </c>
      <c r="K52" s="8">
        <v>5210</v>
      </c>
      <c r="L52" s="20">
        <v>552.19140410958903</v>
      </c>
      <c r="M52" s="20">
        <v>245</v>
      </c>
      <c r="N52" s="12">
        <v>107.06</v>
      </c>
      <c r="O52" s="12">
        <v>2671.9400792500001</v>
      </c>
      <c r="P52" s="22">
        <v>0.17880426511605807</v>
      </c>
      <c r="Q52" s="12">
        <v>2960.53</v>
      </c>
      <c r="R52" s="12">
        <v>425</v>
      </c>
      <c r="S52" s="12">
        <v>39.26</v>
      </c>
      <c r="T52" s="12">
        <v>425</v>
      </c>
      <c r="U52" s="12">
        <v>4.0323872545024857</v>
      </c>
      <c r="V52" s="12">
        <v>2372</v>
      </c>
      <c r="W52" s="12">
        <v>3411</v>
      </c>
      <c r="X52" s="12">
        <v>1125.9499999999998</v>
      </c>
      <c r="Y52" s="12">
        <v>-996</v>
      </c>
      <c r="Z52" s="21">
        <v>39201.96387061409</v>
      </c>
      <c r="AA52" s="21">
        <v>-25894.88398061409</v>
      </c>
      <c r="AB52" s="21">
        <v>-33057.88398061409</v>
      </c>
      <c r="AC52" s="12"/>
      <c r="AD52" s="12"/>
      <c r="AE52" s="12"/>
      <c r="AF52" s="12"/>
      <c r="BH52"/>
      <c r="BI52"/>
    </row>
    <row r="53" spans="1:61" ht="14.25" customHeight="1" x14ac:dyDescent="0.3">
      <c r="A53" s="1" t="s">
        <v>145</v>
      </c>
      <c r="B53" s="2" t="s">
        <v>224</v>
      </c>
      <c r="C53" s="2" t="s">
        <v>176</v>
      </c>
      <c r="D53" s="2" t="s">
        <v>312</v>
      </c>
      <c r="E53" s="2" t="s">
        <v>156</v>
      </c>
      <c r="F53" s="4">
        <v>2068</v>
      </c>
      <c r="G53" s="17">
        <v>0</v>
      </c>
      <c r="H53" s="18">
        <v>0</v>
      </c>
      <c r="I53" s="19">
        <v>0</v>
      </c>
      <c r="J53" s="12">
        <v>9200</v>
      </c>
      <c r="K53" s="8">
        <v>5210</v>
      </c>
      <c r="L53" s="20">
        <v>61.081404109589037</v>
      </c>
      <c r="M53" s="20">
        <v>245</v>
      </c>
      <c r="N53" s="12">
        <v>107.06</v>
      </c>
      <c r="O53" s="12">
        <v>3768.7355062500001</v>
      </c>
      <c r="P53" s="22" t="s">
        <v>167</v>
      </c>
      <c r="Q53" s="12">
        <v>2808.0099999999998</v>
      </c>
      <c r="R53" s="12">
        <v>225</v>
      </c>
      <c r="S53" s="12">
        <v>0</v>
      </c>
      <c r="T53" s="12">
        <v>225</v>
      </c>
      <c r="U53" s="12">
        <v>3.993762855512998</v>
      </c>
      <c r="V53" s="12">
        <v>2372</v>
      </c>
      <c r="W53" s="12">
        <v>0</v>
      </c>
      <c r="X53" s="12">
        <v>0</v>
      </c>
      <c r="Y53" s="12">
        <v>-996</v>
      </c>
      <c r="Z53" s="21">
        <v>25478.880673215102</v>
      </c>
      <c r="AA53" s="21">
        <v>-25478.880673215102</v>
      </c>
      <c r="AB53" s="21">
        <v>-32641.880673215102</v>
      </c>
      <c r="AC53" s="12"/>
      <c r="AD53" s="12"/>
      <c r="AE53" s="12"/>
      <c r="AF53" s="12"/>
      <c r="BH53"/>
      <c r="BI53"/>
    </row>
    <row r="54" spans="1:61" ht="14.25" customHeight="1" x14ac:dyDescent="0.3">
      <c r="A54" s="1" t="s">
        <v>139</v>
      </c>
      <c r="B54" s="2" t="s">
        <v>225</v>
      </c>
      <c r="C54" s="2" t="s">
        <v>176</v>
      </c>
      <c r="D54" s="2" t="s">
        <v>312</v>
      </c>
      <c r="E54" s="2" t="s">
        <v>156</v>
      </c>
      <c r="F54" s="4">
        <v>2064</v>
      </c>
      <c r="G54" s="17">
        <v>0</v>
      </c>
      <c r="H54" s="18">
        <v>0</v>
      </c>
      <c r="I54" s="19">
        <v>0</v>
      </c>
      <c r="J54" s="12">
        <v>9200</v>
      </c>
      <c r="K54" s="8">
        <v>5210</v>
      </c>
      <c r="L54" s="20">
        <v>61.081404109589037</v>
      </c>
      <c r="M54" s="20">
        <v>245</v>
      </c>
      <c r="N54" s="12">
        <v>107.06</v>
      </c>
      <c r="O54" s="12">
        <v>4911.2323942499997</v>
      </c>
      <c r="P54" s="22" t="s">
        <v>167</v>
      </c>
      <c r="Q54" s="12">
        <v>3035.0800000000004</v>
      </c>
      <c r="R54" s="12">
        <v>0</v>
      </c>
      <c r="S54" s="12">
        <v>172.56</v>
      </c>
      <c r="T54" s="12">
        <v>0</v>
      </c>
      <c r="U54" s="12">
        <v>3.9860379757151008</v>
      </c>
      <c r="V54" s="12">
        <v>0</v>
      </c>
      <c r="W54" s="12">
        <v>0</v>
      </c>
      <c r="X54" s="12">
        <v>0</v>
      </c>
      <c r="Y54" s="12">
        <v>-996</v>
      </c>
      <c r="Z54" s="21">
        <v>24198.999836335304</v>
      </c>
      <c r="AA54" s="21">
        <v>-24198.999836335304</v>
      </c>
      <c r="AB54" s="21">
        <v>-31361.999836335304</v>
      </c>
      <c r="AC54" s="12"/>
      <c r="AD54" s="12"/>
      <c r="AE54" s="12"/>
      <c r="AF54" s="12"/>
      <c r="BH54"/>
      <c r="BI54"/>
    </row>
    <row r="55" spans="1:61" ht="14.25" customHeight="1" x14ac:dyDescent="0.3">
      <c r="A55" s="1" t="s">
        <v>138</v>
      </c>
      <c r="B55" s="2" t="s">
        <v>226</v>
      </c>
      <c r="C55" s="2" t="s">
        <v>176</v>
      </c>
      <c r="D55" s="2" t="s">
        <v>312</v>
      </c>
      <c r="E55" s="2" t="s">
        <v>155</v>
      </c>
      <c r="F55" s="4">
        <v>2057</v>
      </c>
      <c r="G55" s="17">
        <v>0</v>
      </c>
      <c r="H55" s="18">
        <v>0</v>
      </c>
      <c r="I55" s="19">
        <v>0</v>
      </c>
      <c r="J55" s="12">
        <v>9200</v>
      </c>
      <c r="K55" s="8">
        <v>5210</v>
      </c>
      <c r="L55" s="20">
        <v>61.081404109589037</v>
      </c>
      <c r="M55" s="20">
        <v>245</v>
      </c>
      <c r="N55" s="12">
        <v>107.06</v>
      </c>
      <c r="O55" s="12">
        <v>5862.2231167500004</v>
      </c>
      <c r="P55" s="22" t="s">
        <v>167</v>
      </c>
      <c r="Q55" s="12">
        <v>3062.96</v>
      </c>
      <c r="R55" s="12">
        <v>0</v>
      </c>
      <c r="S55" s="12">
        <v>0</v>
      </c>
      <c r="T55" s="12">
        <v>0</v>
      </c>
      <c r="U55" s="12">
        <v>3.9725194360687803</v>
      </c>
      <c r="V55" s="12">
        <v>2372</v>
      </c>
      <c r="W55" s="12">
        <v>0</v>
      </c>
      <c r="X55" s="12">
        <v>0</v>
      </c>
      <c r="Y55" s="12">
        <v>-996</v>
      </c>
      <c r="Z55" s="21">
        <v>27377.297040295656</v>
      </c>
      <c r="AA55" s="21">
        <v>-27377.297040295656</v>
      </c>
      <c r="AB55" s="21">
        <v>-34540.297040295656</v>
      </c>
      <c r="AC55" s="12"/>
      <c r="AD55" s="12"/>
      <c r="AE55" s="12"/>
      <c r="AF55" s="12"/>
      <c r="BH55"/>
      <c r="BI55"/>
    </row>
    <row r="56" spans="1:61" ht="14.25" customHeight="1" x14ac:dyDescent="0.3">
      <c r="A56" s="1" t="s">
        <v>22</v>
      </c>
      <c r="B56" s="2" t="s">
        <v>227</v>
      </c>
      <c r="C56" s="2" t="s">
        <v>175</v>
      </c>
      <c r="D56" s="2" t="s">
        <v>312</v>
      </c>
      <c r="E56" s="2" t="s">
        <v>152</v>
      </c>
      <c r="F56" s="4">
        <v>2018</v>
      </c>
      <c r="G56" s="17">
        <v>601.65</v>
      </c>
      <c r="H56" s="18">
        <v>65.880674999999997</v>
      </c>
      <c r="I56" s="19">
        <v>535.76932499999998</v>
      </c>
      <c r="J56" s="12">
        <v>0</v>
      </c>
      <c r="K56" s="8">
        <v>5210</v>
      </c>
      <c r="L56" s="20">
        <v>552.19140410958903</v>
      </c>
      <c r="M56" s="20">
        <v>245</v>
      </c>
      <c r="N56" s="12">
        <v>107.06</v>
      </c>
      <c r="O56" s="12">
        <v>4825.4678354999996</v>
      </c>
      <c r="P56" s="22">
        <v>8.0203903191224128</v>
      </c>
      <c r="Q56" s="12">
        <v>2055.59</v>
      </c>
      <c r="R56" s="12">
        <v>450</v>
      </c>
      <c r="S56" s="12">
        <v>21.619999999999997</v>
      </c>
      <c r="T56" s="12">
        <v>450</v>
      </c>
      <c r="U56" s="12">
        <v>31.411442853903843</v>
      </c>
      <c r="V56" s="12">
        <v>0</v>
      </c>
      <c r="W56" s="12">
        <v>0</v>
      </c>
      <c r="X56" s="12">
        <v>237.6</v>
      </c>
      <c r="Y56" s="12">
        <v>-996</v>
      </c>
      <c r="Z56" s="21">
        <v>16143.940682463493</v>
      </c>
      <c r="AA56" s="21">
        <v>-15608.171357463494</v>
      </c>
      <c r="AB56" s="21">
        <v>-23476.171357463492</v>
      </c>
      <c r="AC56" s="12"/>
      <c r="AD56" s="12"/>
      <c r="AE56" s="12"/>
      <c r="AF56" s="12"/>
      <c r="BH56"/>
      <c r="BI56"/>
    </row>
    <row r="57" spans="1:61" ht="14.25" customHeight="1" x14ac:dyDescent="0.3">
      <c r="A57" s="1" t="s">
        <v>28</v>
      </c>
      <c r="B57" s="2" t="s">
        <v>228</v>
      </c>
      <c r="C57" s="2" t="s">
        <v>180</v>
      </c>
      <c r="D57" s="2" t="s">
        <v>311</v>
      </c>
      <c r="E57" s="2" t="s">
        <v>156</v>
      </c>
      <c r="F57" s="4">
        <v>1991</v>
      </c>
      <c r="G57" s="17">
        <v>13254.520000000002</v>
      </c>
      <c r="H57" s="18">
        <v>1451.3699400000003</v>
      </c>
      <c r="I57" s="19">
        <v>11803.150060000002</v>
      </c>
      <c r="J57" s="12">
        <v>18400</v>
      </c>
      <c r="K57" s="8">
        <v>5210</v>
      </c>
      <c r="L57" s="20">
        <v>682.51140410958897</v>
      </c>
      <c r="M57" s="20">
        <v>245</v>
      </c>
      <c r="N57" s="12">
        <v>107.06</v>
      </c>
      <c r="O57" s="12">
        <v>5314.9550577500004</v>
      </c>
      <c r="P57" s="22">
        <v>0.40099189240726935</v>
      </c>
      <c r="Q57" s="12">
        <v>2011.08</v>
      </c>
      <c r="R57" s="12">
        <v>83.230000000000018</v>
      </c>
      <c r="S57" s="12">
        <v>645.07999999999947</v>
      </c>
      <c r="T57" s="12">
        <v>83.230000000000018</v>
      </c>
      <c r="U57" s="12">
        <v>3.8450589194034719</v>
      </c>
      <c r="V57" s="12">
        <v>1956</v>
      </c>
      <c r="W57" s="12">
        <v>0</v>
      </c>
      <c r="X57" s="12">
        <v>124.07</v>
      </c>
      <c r="Y57" s="12">
        <v>-996</v>
      </c>
      <c r="Z57" s="21">
        <v>36119.061520778989</v>
      </c>
      <c r="AA57" s="21">
        <v>-24315.911460778989</v>
      </c>
      <c r="AB57" s="21">
        <v>-31478.911460778989</v>
      </c>
      <c r="AC57" s="12"/>
      <c r="AD57" s="12"/>
      <c r="AE57" s="12"/>
      <c r="AF57" s="12"/>
      <c r="BH57"/>
      <c r="BI57"/>
    </row>
    <row r="58" spans="1:61" ht="14.25" customHeight="1" x14ac:dyDescent="0.3">
      <c r="A58" s="1" t="s">
        <v>148</v>
      </c>
      <c r="B58" s="2" t="s">
        <v>229</v>
      </c>
      <c r="C58" s="2" t="s">
        <v>175</v>
      </c>
      <c r="D58" s="2" t="s">
        <v>312</v>
      </c>
      <c r="E58" s="2" t="s">
        <v>152</v>
      </c>
      <c r="F58" s="4">
        <v>1987</v>
      </c>
      <c r="G58" s="17">
        <v>840.0200000000001</v>
      </c>
      <c r="H58" s="18">
        <v>91.982190000000017</v>
      </c>
      <c r="I58" s="19">
        <v>748.03781000000004</v>
      </c>
      <c r="J58" s="12">
        <v>0</v>
      </c>
      <c r="K58" s="8">
        <v>5210</v>
      </c>
      <c r="L58" s="20">
        <v>555.32140410958903</v>
      </c>
      <c r="M58" s="20">
        <v>245</v>
      </c>
      <c r="N58" s="12">
        <v>107.06</v>
      </c>
      <c r="O58" s="12">
        <v>5812.4885910000003</v>
      </c>
      <c r="P58" s="22">
        <v>6.9194645258446226</v>
      </c>
      <c r="Q58" s="12">
        <v>1906.33</v>
      </c>
      <c r="R58" s="12">
        <v>225</v>
      </c>
      <c r="S58" s="12">
        <v>0</v>
      </c>
      <c r="T58" s="12">
        <v>225</v>
      </c>
      <c r="U58" s="12">
        <v>30.928908300647638</v>
      </c>
      <c r="V58" s="12">
        <v>0</v>
      </c>
      <c r="W58" s="12">
        <v>0</v>
      </c>
      <c r="X58" s="12">
        <v>0</v>
      </c>
      <c r="Y58" s="12">
        <v>-996</v>
      </c>
      <c r="Z58" s="21">
        <v>16275.128903410237</v>
      </c>
      <c r="AA58" s="21">
        <v>-15527.091093410238</v>
      </c>
      <c r="AB58" s="21">
        <v>-23395.091093410236</v>
      </c>
      <c r="AC58" s="12"/>
      <c r="AD58" s="12"/>
      <c r="AE58" s="12"/>
      <c r="AF58" s="12"/>
      <c r="BH58"/>
      <c r="BI58"/>
    </row>
    <row r="59" spans="1:61" ht="14.25" customHeight="1" x14ac:dyDescent="0.3">
      <c r="A59" s="1" t="s">
        <v>141</v>
      </c>
      <c r="B59" s="2" t="s">
        <v>230</v>
      </c>
      <c r="C59" s="2" t="s">
        <v>180</v>
      </c>
      <c r="D59" s="2" t="s">
        <v>311</v>
      </c>
      <c r="E59" s="2" t="s">
        <v>156</v>
      </c>
      <c r="F59" s="4">
        <v>1978</v>
      </c>
      <c r="G59" s="17">
        <v>10549.16</v>
      </c>
      <c r="H59" s="18">
        <v>1155.13302</v>
      </c>
      <c r="I59" s="19">
        <v>9394.0269800000005</v>
      </c>
      <c r="J59" s="12">
        <v>18400</v>
      </c>
      <c r="K59" s="8">
        <v>5210</v>
      </c>
      <c r="L59" s="20">
        <v>540.08140410958902</v>
      </c>
      <c r="M59" s="20">
        <v>245</v>
      </c>
      <c r="N59" s="12">
        <v>107.06</v>
      </c>
      <c r="O59" s="12">
        <v>4438.7296265000004</v>
      </c>
      <c r="P59" s="22">
        <v>0.4207661677801835</v>
      </c>
      <c r="Q59" s="12">
        <v>5970.42</v>
      </c>
      <c r="R59" s="12">
        <v>1486.67</v>
      </c>
      <c r="S59" s="12">
        <v>58.89</v>
      </c>
      <c r="T59" s="12">
        <v>1486.67</v>
      </c>
      <c r="U59" s="12">
        <v>3.8199530600603047</v>
      </c>
      <c r="V59" s="12">
        <v>2372</v>
      </c>
      <c r="W59" s="12">
        <v>0</v>
      </c>
      <c r="X59" s="12">
        <v>553.18999999999994</v>
      </c>
      <c r="Y59" s="12">
        <v>-996</v>
      </c>
      <c r="Z59" s="21">
        <v>42125.530983669654</v>
      </c>
      <c r="AA59" s="21">
        <v>-32731.504003669652</v>
      </c>
      <c r="AB59" s="21">
        <v>-39894.504003669652</v>
      </c>
      <c r="AC59" s="12"/>
      <c r="AD59" s="12"/>
      <c r="AE59" s="12"/>
      <c r="AF59" s="12"/>
      <c r="BH59"/>
      <c r="BI59"/>
    </row>
    <row r="60" spans="1:61" ht="14.25" customHeight="1" x14ac:dyDescent="0.3">
      <c r="A60" s="1" t="s">
        <v>135</v>
      </c>
      <c r="B60" s="2" t="s">
        <v>231</v>
      </c>
      <c r="C60" s="2" t="s">
        <v>175</v>
      </c>
      <c r="D60" s="2" t="s">
        <v>312</v>
      </c>
      <c r="E60" s="2" t="s">
        <v>152</v>
      </c>
      <c r="F60" s="4">
        <v>1975</v>
      </c>
      <c r="G60" s="17">
        <v>802.48</v>
      </c>
      <c r="H60" s="18">
        <v>87.871560000000002</v>
      </c>
      <c r="I60" s="19">
        <v>714.60843999999997</v>
      </c>
      <c r="J60" s="12">
        <v>0</v>
      </c>
      <c r="K60" s="8">
        <v>5210</v>
      </c>
      <c r="L60" s="20">
        <v>553.63140410958897</v>
      </c>
      <c r="M60" s="20">
        <v>245</v>
      </c>
      <c r="N60" s="12">
        <v>107.06</v>
      </c>
      <c r="O60" s="12">
        <v>4689.7507475000002</v>
      </c>
      <c r="P60" s="22">
        <v>5.8440718117585488</v>
      </c>
      <c r="Q60" s="12">
        <v>2327.84</v>
      </c>
      <c r="R60" s="12">
        <v>450</v>
      </c>
      <c r="S60" s="12">
        <v>0</v>
      </c>
      <c r="T60" s="12">
        <v>450</v>
      </c>
      <c r="U60" s="12">
        <v>30.742120731645237</v>
      </c>
      <c r="V60" s="12">
        <v>0</v>
      </c>
      <c r="W60" s="12">
        <v>0</v>
      </c>
      <c r="X60" s="12">
        <v>0</v>
      </c>
      <c r="Y60" s="12">
        <v>-996</v>
      </c>
      <c r="Z60" s="21">
        <v>16022.024272341234</v>
      </c>
      <c r="AA60" s="21">
        <v>-15307.415832341234</v>
      </c>
      <c r="AB60" s="21">
        <v>-23175.415832341234</v>
      </c>
      <c r="AC60" s="12"/>
      <c r="AD60" s="12"/>
      <c r="AE60" s="12"/>
      <c r="AF60" s="12"/>
      <c r="BH60"/>
      <c r="BI60"/>
    </row>
    <row r="61" spans="1:61" ht="14.25" customHeight="1" x14ac:dyDescent="0.3">
      <c r="A61" s="1" t="s">
        <v>48</v>
      </c>
      <c r="B61" s="2" t="s">
        <v>232</v>
      </c>
      <c r="C61" s="2" t="s">
        <v>175</v>
      </c>
      <c r="D61" s="2" t="s">
        <v>312</v>
      </c>
      <c r="E61" s="2" t="s">
        <v>152</v>
      </c>
      <c r="F61" s="4">
        <v>1950</v>
      </c>
      <c r="G61" s="17">
        <v>624.18000000000006</v>
      </c>
      <c r="H61" s="18">
        <v>68.347710000000006</v>
      </c>
      <c r="I61" s="19">
        <v>555.83229000000006</v>
      </c>
      <c r="J61" s="12">
        <v>0</v>
      </c>
      <c r="K61" s="8">
        <v>5210</v>
      </c>
      <c r="L61" s="20">
        <v>555.75140410958909</v>
      </c>
      <c r="M61" s="20">
        <v>245</v>
      </c>
      <c r="N61" s="12">
        <v>107.06</v>
      </c>
      <c r="O61" s="12">
        <v>7303.8703530000003</v>
      </c>
      <c r="P61" s="22">
        <v>11.701544991829278</v>
      </c>
      <c r="Q61" s="12">
        <v>1843.59</v>
      </c>
      <c r="R61" s="12">
        <v>1513.89</v>
      </c>
      <c r="S61" s="12">
        <v>0</v>
      </c>
      <c r="T61" s="12">
        <v>1513.89</v>
      </c>
      <c r="U61" s="12">
        <v>30.352979962890235</v>
      </c>
      <c r="V61" s="12">
        <v>0</v>
      </c>
      <c r="W61" s="12">
        <v>0</v>
      </c>
      <c r="X61" s="12">
        <v>0</v>
      </c>
      <c r="Y61" s="12">
        <v>-996</v>
      </c>
      <c r="Z61" s="21">
        <v>20281.40473707248</v>
      </c>
      <c r="AA61" s="21">
        <v>-19725.572447072482</v>
      </c>
      <c r="AB61" s="21">
        <v>-27593.572447072482</v>
      </c>
      <c r="AC61" s="12"/>
      <c r="AD61" s="12"/>
      <c r="AE61" s="12"/>
      <c r="AF61" s="12"/>
      <c r="BH61"/>
      <c r="BI61"/>
    </row>
    <row r="62" spans="1:61" ht="14.25" customHeight="1" x14ac:dyDescent="0.3">
      <c r="A62" s="1" t="s">
        <v>29</v>
      </c>
      <c r="B62" s="2" t="s">
        <v>233</v>
      </c>
      <c r="C62" s="2" t="s">
        <v>175</v>
      </c>
      <c r="D62" s="2" t="s">
        <v>312</v>
      </c>
      <c r="E62" s="2" t="s">
        <v>153</v>
      </c>
      <c r="F62" s="4">
        <v>1925</v>
      </c>
      <c r="G62" s="17">
        <v>0</v>
      </c>
      <c r="H62" s="18">
        <v>0</v>
      </c>
      <c r="I62" s="19">
        <v>0</v>
      </c>
      <c r="J62" s="12">
        <v>0</v>
      </c>
      <c r="K62" s="8">
        <v>5210</v>
      </c>
      <c r="L62" s="20">
        <v>552.19140410958903</v>
      </c>
      <c r="M62" s="20">
        <v>245</v>
      </c>
      <c r="N62" s="12">
        <v>107.06</v>
      </c>
      <c r="O62" s="12">
        <v>4856.1964197500001</v>
      </c>
      <c r="P62" s="22" t="s">
        <v>167</v>
      </c>
      <c r="Q62" s="12">
        <v>1827.63</v>
      </c>
      <c r="R62" s="12">
        <v>0</v>
      </c>
      <c r="S62" s="12">
        <v>19.63</v>
      </c>
      <c r="T62" s="12">
        <v>0</v>
      </c>
      <c r="U62" s="12">
        <v>29.963839194135229</v>
      </c>
      <c r="V62" s="12">
        <v>2372</v>
      </c>
      <c r="W62" s="12">
        <v>0</v>
      </c>
      <c r="X62" s="12">
        <v>129.72999999999999</v>
      </c>
      <c r="Y62" s="12">
        <v>-996</v>
      </c>
      <c r="Z62" s="21">
        <v>16602.401663053723</v>
      </c>
      <c r="AA62" s="21">
        <v>-16602.401663053723</v>
      </c>
      <c r="AB62" s="21">
        <v>-23765.401663053723</v>
      </c>
      <c r="AC62" s="12"/>
      <c r="AD62" s="12"/>
      <c r="AE62" s="12"/>
      <c r="AF62" s="12"/>
      <c r="BH62"/>
      <c r="BI62"/>
    </row>
    <row r="63" spans="1:61" ht="14.25" customHeight="1" x14ac:dyDescent="0.3">
      <c r="A63" s="1" t="s">
        <v>63</v>
      </c>
      <c r="B63" s="2" t="s">
        <v>234</v>
      </c>
      <c r="C63" s="2" t="s">
        <v>175</v>
      </c>
      <c r="D63" s="2" t="s">
        <v>312</v>
      </c>
      <c r="E63" s="2" t="s">
        <v>156</v>
      </c>
      <c r="F63" s="4">
        <v>1914</v>
      </c>
      <c r="G63" s="17">
        <v>612.06999999999994</v>
      </c>
      <c r="H63" s="18">
        <v>67.021664999999999</v>
      </c>
      <c r="I63" s="19">
        <v>545.04833499999995</v>
      </c>
      <c r="J63" s="12">
        <v>0</v>
      </c>
      <c r="K63" s="8">
        <v>5210</v>
      </c>
      <c r="L63" s="20">
        <v>555.51140410958908</v>
      </c>
      <c r="M63" s="20">
        <v>245</v>
      </c>
      <c r="N63" s="12">
        <v>107.06</v>
      </c>
      <c r="O63" s="12">
        <v>5001.238112</v>
      </c>
      <c r="P63" s="22">
        <v>8.171023105200387</v>
      </c>
      <c r="Q63" s="12">
        <v>1916</v>
      </c>
      <c r="R63" s="12">
        <v>0</v>
      </c>
      <c r="S63" s="12">
        <v>0</v>
      </c>
      <c r="T63" s="12">
        <v>0</v>
      </c>
      <c r="U63" s="12">
        <v>3.6963549832939453</v>
      </c>
      <c r="V63" s="12">
        <v>0</v>
      </c>
      <c r="W63" s="12">
        <v>3411</v>
      </c>
      <c r="X63" s="12">
        <v>0</v>
      </c>
      <c r="Y63" s="12">
        <v>-996</v>
      </c>
      <c r="Z63" s="21">
        <v>17702.505871092882</v>
      </c>
      <c r="AA63" s="21">
        <v>-17157.457536092883</v>
      </c>
      <c r="AB63" s="21">
        <v>-24320.457536092883</v>
      </c>
      <c r="AC63" s="12"/>
      <c r="AD63" s="12"/>
      <c r="AE63" s="12"/>
      <c r="AF63" s="12"/>
      <c r="BH63"/>
      <c r="BI63"/>
    </row>
    <row r="64" spans="1:61" ht="14.25" customHeight="1" x14ac:dyDescent="0.3">
      <c r="A64" s="1" t="s">
        <v>69</v>
      </c>
      <c r="B64" s="2" t="s">
        <v>235</v>
      </c>
      <c r="C64" s="2" t="s">
        <v>180</v>
      </c>
      <c r="D64" s="2" t="s">
        <v>311</v>
      </c>
      <c r="E64" s="2" t="s">
        <v>156</v>
      </c>
      <c r="F64" s="4">
        <v>1881</v>
      </c>
      <c r="G64" s="17">
        <v>5652.9299999999994</v>
      </c>
      <c r="H64" s="18">
        <v>618.99583499999994</v>
      </c>
      <c r="I64" s="19">
        <v>5033.9341649999997</v>
      </c>
      <c r="J64" s="12">
        <v>18400</v>
      </c>
      <c r="K64" s="8">
        <v>5210</v>
      </c>
      <c r="L64" s="20">
        <v>804.70140410958902</v>
      </c>
      <c r="M64" s="20">
        <v>245</v>
      </c>
      <c r="N64" s="12">
        <v>107.06</v>
      </c>
      <c r="O64" s="12">
        <v>2905.3326444999998</v>
      </c>
      <c r="P64" s="22">
        <v>0.51395164003446003</v>
      </c>
      <c r="Q64" s="12">
        <v>4086.12</v>
      </c>
      <c r="R64" s="12">
        <v>0</v>
      </c>
      <c r="S64" s="12">
        <v>39.26</v>
      </c>
      <c r="T64" s="12">
        <v>0</v>
      </c>
      <c r="U64" s="12">
        <v>3.6326247249612909</v>
      </c>
      <c r="V64" s="12">
        <v>2969</v>
      </c>
      <c r="W64" s="12">
        <v>0</v>
      </c>
      <c r="X64" s="12">
        <v>164.54</v>
      </c>
      <c r="Y64" s="12">
        <v>-996</v>
      </c>
      <c r="Z64" s="21">
        <v>36187.646673334544</v>
      </c>
      <c r="AA64" s="21">
        <v>-31153.712508334545</v>
      </c>
      <c r="AB64" s="21">
        <v>-38316.712508334545</v>
      </c>
      <c r="AC64" s="12"/>
      <c r="AD64" s="12"/>
      <c r="AE64" s="12"/>
      <c r="AF64" s="12"/>
      <c r="BH64"/>
      <c r="BI64"/>
    </row>
    <row r="65" spans="1:61" ht="14.25" customHeight="1" x14ac:dyDescent="0.3">
      <c r="A65" s="1" t="s">
        <v>56</v>
      </c>
      <c r="B65" s="2" t="s">
        <v>236</v>
      </c>
      <c r="C65" s="2" t="s">
        <v>175</v>
      </c>
      <c r="D65" s="2" t="s">
        <v>312</v>
      </c>
      <c r="E65" s="2" t="s">
        <v>152</v>
      </c>
      <c r="F65" s="4">
        <v>1871</v>
      </c>
      <c r="G65" s="17">
        <v>1035.93</v>
      </c>
      <c r="H65" s="18">
        <v>113.434335</v>
      </c>
      <c r="I65" s="19">
        <v>922.49566500000003</v>
      </c>
      <c r="J65" s="12">
        <v>0</v>
      </c>
      <c r="K65" s="8">
        <v>5210</v>
      </c>
      <c r="L65" s="20">
        <v>555.51140410958897</v>
      </c>
      <c r="M65" s="20">
        <v>245</v>
      </c>
      <c r="N65" s="12">
        <v>107.06</v>
      </c>
      <c r="O65" s="12">
        <v>5282.0959847499998</v>
      </c>
      <c r="P65" s="22">
        <v>5.0988927676097804</v>
      </c>
      <c r="Q65" s="12">
        <v>2189.37</v>
      </c>
      <c r="R65" s="12">
        <v>375</v>
      </c>
      <c r="S65" s="12">
        <v>0</v>
      </c>
      <c r="T65" s="12">
        <v>375</v>
      </c>
      <c r="U65" s="12">
        <v>29.123295133624424</v>
      </c>
      <c r="V65" s="12">
        <v>0</v>
      </c>
      <c r="W65" s="12">
        <v>0</v>
      </c>
      <c r="X65" s="12">
        <v>0</v>
      </c>
      <c r="Y65" s="12">
        <v>-996</v>
      </c>
      <c r="Z65" s="21">
        <v>16326.160683993212</v>
      </c>
      <c r="AA65" s="21">
        <v>-15403.665018993212</v>
      </c>
      <c r="AB65" s="21">
        <v>-23271.665018993212</v>
      </c>
      <c r="AC65" s="12"/>
      <c r="AD65" s="12"/>
      <c r="AE65" s="12"/>
      <c r="AF65" s="12"/>
      <c r="BH65"/>
      <c r="BI65"/>
    </row>
    <row r="66" spans="1:61" ht="14.25" customHeight="1" x14ac:dyDescent="0.3">
      <c r="A66" s="1" t="s">
        <v>71</v>
      </c>
      <c r="B66" s="2" t="s">
        <v>237</v>
      </c>
      <c r="C66" s="2" t="s">
        <v>175</v>
      </c>
      <c r="D66" s="2" t="s">
        <v>312</v>
      </c>
      <c r="E66" s="2" t="s">
        <v>153</v>
      </c>
      <c r="F66" s="4">
        <v>1853</v>
      </c>
      <c r="G66" s="17">
        <v>0</v>
      </c>
      <c r="H66" s="18">
        <v>0</v>
      </c>
      <c r="I66" s="19">
        <v>0</v>
      </c>
      <c r="J66" s="12">
        <v>0</v>
      </c>
      <c r="K66" s="8">
        <v>5210</v>
      </c>
      <c r="L66" s="20">
        <v>555.75140410958909</v>
      </c>
      <c r="M66" s="20">
        <v>245</v>
      </c>
      <c r="N66" s="12">
        <v>107.06</v>
      </c>
      <c r="O66" s="12">
        <v>4146.95176025</v>
      </c>
      <c r="P66" s="22" t="s">
        <v>167</v>
      </c>
      <c r="Q66" s="12">
        <v>2703.22</v>
      </c>
      <c r="R66" s="12">
        <v>0</v>
      </c>
      <c r="S66" s="12">
        <v>1.82</v>
      </c>
      <c r="T66" s="12">
        <v>0</v>
      </c>
      <c r="U66" s="12">
        <v>28.84311378012082</v>
      </c>
      <c r="V66" s="12">
        <v>6330.68</v>
      </c>
      <c r="W66" s="12">
        <v>0</v>
      </c>
      <c r="X66" s="12">
        <v>0</v>
      </c>
      <c r="Y66" s="12">
        <v>-996</v>
      </c>
      <c r="Z66" s="21">
        <v>20582.326278139713</v>
      </c>
      <c r="AA66" s="21">
        <v>-20582.326278139713</v>
      </c>
      <c r="AB66" s="21">
        <v>-27745.326278139713</v>
      </c>
      <c r="AC66" s="12"/>
      <c r="AD66" s="12"/>
      <c r="AE66" s="12"/>
      <c r="AF66" s="12"/>
      <c r="BH66"/>
      <c r="BI66"/>
    </row>
    <row r="67" spans="1:61" ht="14.25" customHeight="1" x14ac:dyDescent="0.3">
      <c r="A67" s="1" t="s">
        <v>72</v>
      </c>
      <c r="B67" s="2" t="s">
        <v>238</v>
      </c>
      <c r="C67" s="2" t="s">
        <v>180</v>
      </c>
      <c r="D67" s="2" t="s">
        <v>311</v>
      </c>
      <c r="E67" s="2" t="s">
        <v>156</v>
      </c>
      <c r="F67" s="4">
        <v>1831</v>
      </c>
      <c r="G67" s="17">
        <v>12469.350000000002</v>
      </c>
      <c r="H67" s="18">
        <v>1365.3938250000003</v>
      </c>
      <c r="I67" s="19">
        <v>11103.956175000001</v>
      </c>
      <c r="J67" s="12">
        <v>18400</v>
      </c>
      <c r="K67" s="8">
        <v>5210</v>
      </c>
      <c r="L67" s="20">
        <v>555.51140410958897</v>
      </c>
      <c r="M67" s="20">
        <v>245</v>
      </c>
      <c r="N67" s="12">
        <v>107.06</v>
      </c>
      <c r="O67" s="12">
        <v>5140.2549802499998</v>
      </c>
      <c r="P67" s="22">
        <v>0.4122311892961541</v>
      </c>
      <c r="Q67" s="12">
        <v>3299.11</v>
      </c>
      <c r="R67" s="12">
        <v>125</v>
      </c>
      <c r="S67" s="12">
        <v>40.1</v>
      </c>
      <c r="T67" s="12">
        <v>125</v>
      </c>
      <c r="U67" s="12">
        <v>3.5360637274875724</v>
      </c>
      <c r="V67" s="12">
        <v>0</v>
      </c>
      <c r="W67" s="12">
        <v>0</v>
      </c>
      <c r="X67" s="12">
        <v>933.75999999999988</v>
      </c>
      <c r="Y67" s="12">
        <v>-996</v>
      </c>
      <c r="Z67" s="21">
        <v>35437.33244808708</v>
      </c>
      <c r="AA67" s="21">
        <v>-24333.37627308708</v>
      </c>
      <c r="AB67" s="21">
        <v>-31496.37627308708</v>
      </c>
      <c r="AC67" s="12"/>
      <c r="AD67" s="12"/>
      <c r="AE67" s="12"/>
      <c r="AF67" s="12"/>
      <c r="BH67"/>
      <c r="BI67"/>
    </row>
    <row r="68" spans="1:61" ht="14.25" customHeight="1" x14ac:dyDescent="0.3">
      <c r="A68" s="1" t="s">
        <v>66</v>
      </c>
      <c r="B68" s="2" t="s">
        <v>239</v>
      </c>
      <c r="C68" s="2" t="s">
        <v>176</v>
      </c>
      <c r="D68" s="2" t="s">
        <v>312</v>
      </c>
      <c r="E68" s="2" t="s">
        <v>156</v>
      </c>
      <c r="F68" s="4">
        <v>1828</v>
      </c>
      <c r="G68" s="17">
        <v>0</v>
      </c>
      <c r="H68" s="18">
        <v>0</v>
      </c>
      <c r="I68" s="19">
        <v>0</v>
      </c>
      <c r="J68" s="12">
        <v>9200</v>
      </c>
      <c r="K68" s="8">
        <v>5210</v>
      </c>
      <c r="L68" s="20">
        <v>61.081404109589037</v>
      </c>
      <c r="M68" s="20">
        <v>245</v>
      </c>
      <c r="N68" s="12">
        <v>107.06</v>
      </c>
      <c r="O68" s="12">
        <v>4138.7667197500004</v>
      </c>
      <c r="P68" s="22" t="s">
        <v>167</v>
      </c>
      <c r="Q68" s="12">
        <v>2480.5</v>
      </c>
      <c r="R68" s="12">
        <v>225</v>
      </c>
      <c r="S68" s="12">
        <v>0</v>
      </c>
      <c r="T68" s="12">
        <v>225</v>
      </c>
      <c r="U68" s="12">
        <v>3.5302700676391492</v>
      </c>
      <c r="V68" s="12">
        <v>2372</v>
      </c>
      <c r="W68" s="12">
        <v>0</v>
      </c>
      <c r="X68" s="12">
        <v>0</v>
      </c>
      <c r="Y68" s="12">
        <v>-996</v>
      </c>
      <c r="Z68" s="21">
        <v>25520.93839392723</v>
      </c>
      <c r="AA68" s="21">
        <v>-25520.93839392723</v>
      </c>
      <c r="AB68" s="21">
        <v>-32683.93839392723</v>
      </c>
      <c r="AC68" s="12"/>
      <c r="AD68" s="12"/>
      <c r="AE68" s="12"/>
      <c r="AF68" s="12"/>
      <c r="BH68"/>
      <c r="BI68"/>
    </row>
    <row r="69" spans="1:61" ht="14.25" customHeight="1" x14ac:dyDescent="0.3">
      <c r="A69" s="1" t="s">
        <v>55</v>
      </c>
      <c r="B69" s="2" t="s">
        <v>240</v>
      </c>
      <c r="C69" s="2" t="s">
        <v>176</v>
      </c>
      <c r="D69" s="2" t="s">
        <v>312</v>
      </c>
      <c r="E69" s="2" t="s">
        <v>156</v>
      </c>
      <c r="F69" s="4">
        <v>1799</v>
      </c>
      <c r="G69" s="17">
        <v>0</v>
      </c>
      <c r="H69" s="18">
        <v>0</v>
      </c>
      <c r="I69" s="19">
        <v>0</v>
      </c>
      <c r="J69" s="12">
        <v>9200</v>
      </c>
      <c r="K69" s="8">
        <v>5210</v>
      </c>
      <c r="L69" s="20">
        <v>61.081404109589037</v>
      </c>
      <c r="M69" s="20">
        <v>245</v>
      </c>
      <c r="N69" s="12">
        <v>107.06</v>
      </c>
      <c r="O69" s="12">
        <v>3481.5951690000002</v>
      </c>
      <c r="P69" s="22" t="s">
        <v>167</v>
      </c>
      <c r="Q69" s="12">
        <v>2789.14</v>
      </c>
      <c r="R69" s="12">
        <v>225</v>
      </c>
      <c r="S69" s="12">
        <v>0</v>
      </c>
      <c r="T69" s="12">
        <v>225</v>
      </c>
      <c r="U69" s="12">
        <v>3.4742646891043925</v>
      </c>
      <c r="V69" s="12">
        <v>2372</v>
      </c>
      <c r="W69" s="12">
        <v>0</v>
      </c>
      <c r="X69" s="12">
        <v>0</v>
      </c>
      <c r="Y69" s="12">
        <v>-996</v>
      </c>
      <c r="Z69" s="21">
        <v>25172.350837798691</v>
      </c>
      <c r="AA69" s="21">
        <v>-25172.350837798691</v>
      </c>
      <c r="AB69" s="21">
        <v>-32335.350837798691</v>
      </c>
      <c r="AC69" s="12"/>
      <c r="AD69" s="12"/>
      <c r="AE69" s="12"/>
      <c r="AF69" s="12"/>
      <c r="BH69"/>
      <c r="BI69"/>
    </row>
    <row r="70" spans="1:61" ht="14.25" customHeight="1" x14ac:dyDescent="0.3">
      <c r="A70" s="1" t="s">
        <v>67</v>
      </c>
      <c r="B70" s="2" t="s">
        <v>241</v>
      </c>
      <c r="C70" s="2" t="s">
        <v>177</v>
      </c>
      <c r="D70" s="2" t="s">
        <v>312</v>
      </c>
      <c r="E70" s="2" t="s">
        <v>154</v>
      </c>
      <c r="F70" s="4">
        <v>1768</v>
      </c>
      <c r="G70" s="17">
        <v>0</v>
      </c>
      <c r="H70" s="18">
        <v>0</v>
      </c>
      <c r="I70" s="19">
        <v>0</v>
      </c>
      <c r="J70" s="12">
        <v>0</v>
      </c>
      <c r="K70" s="8">
        <v>5210</v>
      </c>
      <c r="L70" s="20">
        <v>61.081404109589037</v>
      </c>
      <c r="M70" s="20">
        <v>245</v>
      </c>
      <c r="N70" s="12">
        <v>107.06</v>
      </c>
      <c r="O70" s="12">
        <v>5914.4052272500003</v>
      </c>
      <c r="P70" s="22" t="s">
        <v>167</v>
      </c>
      <c r="Q70" s="12">
        <v>4315.7800000000007</v>
      </c>
      <c r="R70" s="12">
        <v>225</v>
      </c>
      <c r="S70" s="12">
        <v>5.0999999999999996</v>
      </c>
      <c r="T70" s="12">
        <v>225</v>
      </c>
      <c r="U70" s="12">
        <v>27.520035166353779</v>
      </c>
      <c r="V70" s="12">
        <v>3350</v>
      </c>
      <c r="W70" s="12">
        <v>0</v>
      </c>
      <c r="X70" s="12">
        <v>0</v>
      </c>
      <c r="Y70" s="12">
        <v>-996</v>
      </c>
      <c r="Z70" s="21">
        <v>21643.946666525942</v>
      </c>
      <c r="AA70" s="21">
        <v>-21643.946666525942</v>
      </c>
      <c r="AB70" s="21">
        <v>-29511.946666525942</v>
      </c>
      <c r="AC70" s="12"/>
      <c r="AD70" s="12"/>
      <c r="AE70" s="12"/>
      <c r="AF70" s="12"/>
      <c r="BH70"/>
      <c r="BI70"/>
    </row>
    <row r="71" spans="1:61" ht="14.25" customHeight="1" x14ac:dyDescent="0.3">
      <c r="A71" s="1" t="s">
        <v>54</v>
      </c>
      <c r="B71" s="2" t="s">
        <v>242</v>
      </c>
      <c r="C71" s="2" t="s">
        <v>175</v>
      </c>
      <c r="D71" s="2" t="s">
        <v>312</v>
      </c>
      <c r="E71" s="2" t="s">
        <v>152</v>
      </c>
      <c r="F71" s="4">
        <v>1761</v>
      </c>
      <c r="G71" s="17">
        <v>194.93</v>
      </c>
      <c r="H71" s="18">
        <v>21.344835</v>
      </c>
      <c r="I71" s="19">
        <v>173.58516500000002</v>
      </c>
      <c r="J71" s="12">
        <v>0</v>
      </c>
      <c r="K71" s="8">
        <v>5210</v>
      </c>
      <c r="L71" s="20">
        <v>553.63140410958897</v>
      </c>
      <c r="M71" s="20">
        <v>245</v>
      </c>
      <c r="N71" s="12">
        <v>107.06</v>
      </c>
      <c r="O71" s="12">
        <v>2920.76134675</v>
      </c>
      <c r="P71" s="22">
        <v>14.983642059970245</v>
      </c>
      <c r="Q71" s="12">
        <v>1786.65</v>
      </c>
      <c r="R71" s="12">
        <v>225</v>
      </c>
      <c r="S71" s="12">
        <v>0</v>
      </c>
      <c r="T71" s="12">
        <v>225</v>
      </c>
      <c r="U71" s="12">
        <v>27.411075751102409</v>
      </c>
      <c r="V71" s="12">
        <v>0</v>
      </c>
      <c r="W71" s="12">
        <v>0</v>
      </c>
      <c r="X71" s="12">
        <v>0</v>
      </c>
      <c r="Y71" s="12">
        <v>-996</v>
      </c>
      <c r="Z71" s="21">
        <v>13258.51382661069</v>
      </c>
      <c r="AA71" s="21">
        <v>-13084.928661610689</v>
      </c>
      <c r="AB71" s="21">
        <v>-20952.928661610691</v>
      </c>
      <c r="AC71" s="12"/>
      <c r="AD71" s="12"/>
      <c r="AE71" s="12"/>
      <c r="AF71" s="12"/>
      <c r="BH71"/>
      <c r="BI71"/>
    </row>
    <row r="72" spans="1:61" ht="14.25" customHeight="1" x14ac:dyDescent="0.3">
      <c r="A72" s="1" t="s">
        <v>73</v>
      </c>
      <c r="B72" s="2" t="s">
        <v>243</v>
      </c>
      <c r="C72" s="2" t="s">
        <v>177</v>
      </c>
      <c r="D72" s="2" t="s">
        <v>312</v>
      </c>
      <c r="E72" s="2" t="s">
        <v>154</v>
      </c>
      <c r="F72" s="4">
        <v>1748</v>
      </c>
      <c r="G72" s="17">
        <v>0</v>
      </c>
      <c r="H72" s="18">
        <v>0</v>
      </c>
      <c r="I72" s="19">
        <v>0</v>
      </c>
      <c r="J72" s="12">
        <v>0</v>
      </c>
      <c r="K72" s="8">
        <v>5210</v>
      </c>
      <c r="L72" s="20">
        <v>61.081404109589037</v>
      </c>
      <c r="M72" s="20">
        <v>245</v>
      </c>
      <c r="N72" s="12">
        <v>107.06</v>
      </c>
      <c r="O72" s="12">
        <v>5204.9029272500002</v>
      </c>
      <c r="P72" s="22" t="s">
        <v>167</v>
      </c>
      <c r="Q72" s="12">
        <v>2970.5899999999997</v>
      </c>
      <c r="R72" s="12">
        <v>225</v>
      </c>
      <c r="S72" s="12">
        <v>23.41</v>
      </c>
      <c r="T72" s="12">
        <v>225</v>
      </c>
      <c r="U72" s="12">
        <v>27.208722551349776</v>
      </c>
      <c r="V72" s="12">
        <v>3365.68</v>
      </c>
      <c r="W72" s="12">
        <v>0</v>
      </c>
      <c r="X72" s="12">
        <v>0</v>
      </c>
      <c r="Y72" s="12">
        <v>-996</v>
      </c>
      <c r="Z72" s="21">
        <v>19622.93305391094</v>
      </c>
      <c r="AA72" s="21">
        <v>-19622.93305391094</v>
      </c>
      <c r="AB72" s="21">
        <v>-27490.93305391094</v>
      </c>
      <c r="AC72" s="12"/>
      <c r="AD72" s="12"/>
      <c r="AE72" s="12"/>
      <c r="AF72" s="12"/>
      <c r="BH72"/>
      <c r="BI72"/>
    </row>
    <row r="73" spans="1:61" ht="14.25" customHeight="1" x14ac:dyDescent="0.3">
      <c r="A73" s="1" t="s">
        <v>74</v>
      </c>
      <c r="B73" s="2" t="s">
        <v>244</v>
      </c>
      <c r="C73" s="2" t="s">
        <v>177</v>
      </c>
      <c r="D73" s="2" t="s">
        <v>312</v>
      </c>
      <c r="E73" s="2" t="s">
        <v>155</v>
      </c>
      <c r="F73" s="4">
        <v>1730</v>
      </c>
      <c r="G73" s="17">
        <v>0</v>
      </c>
      <c r="H73" s="18">
        <v>0</v>
      </c>
      <c r="I73" s="19">
        <v>0</v>
      </c>
      <c r="J73" s="12">
        <v>0</v>
      </c>
      <c r="K73" s="8">
        <v>5210</v>
      </c>
      <c r="L73" s="20">
        <v>61.081404109589037</v>
      </c>
      <c r="M73" s="20">
        <v>245</v>
      </c>
      <c r="N73" s="12">
        <v>107.06</v>
      </c>
      <c r="O73" s="12">
        <v>5666.2776072500001</v>
      </c>
      <c r="P73" s="22" t="s">
        <v>167</v>
      </c>
      <c r="Q73" s="12">
        <v>3325.21</v>
      </c>
      <c r="R73" s="12">
        <v>225</v>
      </c>
      <c r="S73" s="12">
        <v>1.82</v>
      </c>
      <c r="T73" s="12">
        <v>225</v>
      </c>
      <c r="U73" s="12">
        <v>3.3410105125906608</v>
      </c>
      <c r="V73" s="12">
        <v>7271.8</v>
      </c>
      <c r="W73" s="12">
        <v>0</v>
      </c>
      <c r="X73" s="12">
        <v>0</v>
      </c>
      <c r="Y73" s="12">
        <v>-996</v>
      </c>
      <c r="Z73" s="21">
        <v>23594.59002187218</v>
      </c>
      <c r="AA73" s="21">
        <v>-23594.59002187218</v>
      </c>
      <c r="AB73" s="21">
        <v>-30757.59002187218</v>
      </c>
      <c r="AC73" s="12"/>
      <c r="AD73" s="12"/>
      <c r="AE73" s="12"/>
      <c r="AF73" s="12"/>
      <c r="BH73"/>
      <c r="BI73"/>
    </row>
    <row r="74" spans="1:61" ht="14.25" customHeight="1" x14ac:dyDescent="0.3">
      <c r="A74" s="1" t="s">
        <v>64</v>
      </c>
      <c r="B74" s="2" t="s">
        <v>245</v>
      </c>
      <c r="C74" s="2" t="s">
        <v>177</v>
      </c>
      <c r="D74" s="2" t="s">
        <v>312</v>
      </c>
      <c r="E74" s="2" t="s">
        <v>155</v>
      </c>
      <c r="F74" s="4">
        <v>1692</v>
      </c>
      <c r="G74" s="17">
        <v>0</v>
      </c>
      <c r="H74" s="18">
        <v>0</v>
      </c>
      <c r="I74" s="19">
        <v>0</v>
      </c>
      <c r="J74" s="12">
        <v>0</v>
      </c>
      <c r="K74" s="8">
        <v>5210</v>
      </c>
      <c r="L74" s="20">
        <v>61.081404109589037</v>
      </c>
      <c r="M74" s="20">
        <v>245</v>
      </c>
      <c r="N74" s="12">
        <v>107.06</v>
      </c>
      <c r="O74" s="12">
        <v>2092.8732369999998</v>
      </c>
      <c r="P74" s="22" t="s">
        <v>167</v>
      </c>
      <c r="Q74" s="12">
        <v>2354.4500000000003</v>
      </c>
      <c r="R74" s="12">
        <v>0</v>
      </c>
      <c r="S74" s="12">
        <v>286.64</v>
      </c>
      <c r="T74" s="12">
        <v>0</v>
      </c>
      <c r="U74" s="12">
        <v>3.267624154510635</v>
      </c>
      <c r="V74" s="12">
        <v>1956</v>
      </c>
      <c r="W74" s="12">
        <v>0</v>
      </c>
      <c r="X74" s="12">
        <v>0</v>
      </c>
      <c r="Y74" s="12">
        <v>-996</v>
      </c>
      <c r="Z74" s="21">
        <v>13569.372265264099</v>
      </c>
      <c r="AA74" s="21">
        <v>-13569.372265264099</v>
      </c>
      <c r="AB74" s="21">
        <v>-20732.372265264101</v>
      </c>
      <c r="AC74" s="12"/>
      <c r="AD74" s="12"/>
      <c r="AE74" s="12"/>
      <c r="AF74" s="12"/>
      <c r="BH74"/>
      <c r="BI74"/>
    </row>
    <row r="75" spans="1:61" ht="14.25" customHeight="1" x14ac:dyDescent="0.3">
      <c r="A75" s="1" t="s">
        <v>75</v>
      </c>
      <c r="B75" s="2" t="s">
        <v>246</v>
      </c>
      <c r="C75" s="2" t="s">
        <v>177</v>
      </c>
      <c r="D75" s="2" t="s">
        <v>312</v>
      </c>
      <c r="E75" s="2" t="s">
        <v>154</v>
      </c>
      <c r="F75" s="4">
        <v>1685</v>
      </c>
      <c r="G75" s="17">
        <v>0</v>
      </c>
      <c r="H75" s="18">
        <v>0</v>
      </c>
      <c r="I75" s="19">
        <v>0</v>
      </c>
      <c r="J75" s="12">
        <v>0</v>
      </c>
      <c r="K75" s="8">
        <v>5210</v>
      </c>
      <c r="L75" s="20">
        <v>61.081404109589037</v>
      </c>
      <c r="M75" s="20">
        <v>245</v>
      </c>
      <c r="N75" s="12">
        <v>107.06</v>
      </c>
      <c r="O75" s="12">
        <v>2454.3527677500001</v>
      </c>
      <c r="P75" s="22" t="s">
        <v>167</v>
      </c>
      <c r="Q75" s="12">
        <v>3651.0400000000004</v>
      </c>
      <c r="R75" s="12">
        <v>450</v>
      </c>
      <c r="S75" s="12">
        <v>78.52</v>
      </c>
      <c r="T75" s="12">
        <v>450</v>
      </c>
      <c r="U75" s="12">
        <v>26.228087814087168</v>
      </c>
      <c r="V75" s="12">
        <v>6299.8</v>
      </c>
      <c r="W75" s="12">
        <v>0</v>
      </c>
      <c r="X75" s="12">
        <v>0</v>
      </c>
      <c r="Y75" s="12">
        <v>-996</v>
      </c>
      <c r="Z75" s="21">
        <v>20991.082259673676</v>
      </c>
      <c r="AA75" s="21">
        <v>-20991.082259673676</v>
      </c>
      <c r="AB75" s="21">
        <v>-28859.082259673676</v>
      </c>
      <c r="AC75" s="12"/>
      <c r="AD75" s="12"/>
      <c r="AE75" s="12"/>
      <c r="AF75" s="12"/>
      <c r="BH75"/>
      <c r="BI75"/>
    </row>
    <row r="76" spans="1:61" ht="14.25" customHeight="1" x14ac:dyDescent="0.3">
      <c r="A76" s="1" t="s">
        <v>76</v>
      </c>
      <c r="B76" s="2" t="s">
        <v>247</v>
      </c>
      <c r="C76" s="2" t="s">
        <v>176</v>
      </c>
      <c r="D76" s="2" t="s">
        <v>312</v>
      </c>
      <c r="E76" s="2" t="s">
        <v>155</v>
      </c>
      <c r="F76" s="4">
        <v>1664</v>
      </c>
      <c r="G76" s="17">
        <v>0</v>
      </c>
      <c r="H76" s="18">
        <v>0</v>
      </c>
      <c r="I76" s="19">
        <v>0</v>
      </c>
      <c r="J76" s="12">
        <v>9200</v>
      </c>
      <c r="K76" s="8">
        <v>5210</v>
      </c>
      <c r="L76" s="20">
        <v>61.081404109589037</v>
      </c>
      <c r="M76" s="20">
        <v>245</v>
      </c>
      <c r="N76" s="12">
        <v>107.06</v>
      </c>
      <c r="O76" s="12">
        <v>5308.3356787499997</v>
      </c>
      <c r="P76" s="22" t="s">
        <v>167</v>
      </c>
      <c r="Q76" s="12">
        <v>2555.1999999999998</v>
      </c>
      <c r="R76" s="12">
        <v>225</v>
      </c>
      <c r="S76" s="12">
        <v>0</v>
      </c>
      <c r="T76" s="12">
        <v>225</v>
      </c>
      <c r="U76" s="12">
        <v>3.2135499959253524</v>
      </c>
      <c r="V76" s="12">
        <v>2590</v>
      </c>
      <c r="W76" s="12">
        <v>0</v>
      </c>
      <c r="X76" s="12">
        <v>0</v>
      </c>
      <c r="Y76" s="12">
        <v>-996</v>
      </c>
      <c r="Z76" s="21">
        <v>26982.890632855509</v>
      </c>
      <c r="AA76" s="21">
        <v>-26982.890632855509</v>
      </c>
      <c r="AB76" s="21">
        <v>-34145.890632855509</v>
      </c>
      <c r="AC76" s="12"/>
      <c r="AD76" s="12"/>
      <c r="AE76" s="12"/>
      <c r="AF76" s="12"/>
      <c r="BH76"/>
      <c r="BI76"/>
    </row>
    <row r="77" spans="1:61" ht="14.25" customHeight="1" x14ac:dyDescent="0.3">
      <c r="A77" s="1" t="s">
        <v>77</v>
      </c>
      <c r="B77" s="2" t="s">
        <v>248</v>
      </c>
      <c r="C77" s="2" t="s">
        <v>179</v>
      </c>
      <c r="D77" s="2" t="s">
        <v>311</v>
      </c>
      <c r="E77" s="2" t="s">
        <v>154</v>
      </c>
      <c r="F77" s="4">
        <v>1646</v>
      </c>
      <c r="G77" s="17">
        <v>10137.94</v>
      </c>
      <c r="H77" s="18">
        <v>1110.1044300000001</v>
      </c>
      <c r="I77" s="19">
        <v>9027.8355700000011</v>
      </c>
      <c r="J77" s="12">
        <v>18400</v>
      </c>
      <c r="K77" s="8">
        <v>5210</v>
      </c>
      <c r="L77" s="20">
        <v>539.68140410958904</v>
      </c>
      <c r="M77" s="20">
        <v>245</v>
      </c>
      <c r="N77" s="12">
        <v>107.06</v>
      </c>
      <c r="O77" s="12">
        <v>4653.9288087499999</v>
      </c>
      <c r="P77" s="22">
        <v>0.45906059897276957</v>
      </c>
      <c r="Q77" s="12">
        <v>0</v>
      </c>
      <c r="R77" s="12">
        <v>150</v>
      </c>
      <c r="S77" s="12">
        <v>39.26</v>
      </c>
      <c r="T77" s="12">
        <v>150</v>
      </c>
      <c r="U77" s="12">
        <v>25.621028214829366</v>
      </c>
      <c r="V77" s="12">
        <v>2164</v>
      </c>
      <c r="W77" s="12">
        <v>6420</v>
      </c>
      <c r="X77" s="12">
        <v>854.61999999999989</v>
      </c>
      <c r="Y77" s="12">
        <v>-996</v>
      </c>
      <c r="Z77" s="21">
        <v>40917.171241074415</v>
      </c>
      <c r="AA77" s="21">
        <v>-31889.335671074412</v>
      </c>
      <c r="AB77" s="21">
        <v>-39757.335671074412</v>
      </c>
      <c r="AC77" s="12"/>
      <c r="AD77" s="12"/>
      <c r="AE77" s="12"/>
      <c r="AF77" s="12"/>
      <c r="BH77"/>
      <c r="BI77"/>
    </row>
    <row r="78" spans="1:61" ht="14.25" customHeight="1" x14ac:dyDescent="0.3">
      <c r="A78" s="1" t="s">
        <v>78</v>
      </c>
      <c r="B78" s="2" t="s">
        <v>249</v>
      </c>
      <c r="C78" s="2" t="s">
        <v>179</v>
      </c>
      <c r="D78" s="2" t="s">
        <v>311</v>
      </c>
      <c r="E78" s="2" t="s">
        <v>154</v>
      </c>
      <c r="F78" s="4">
        <v>1613</v>
      </c>
      <c r="G78" s="17">
        <v>10571.689999999999</v>
      </c>
      <c r="H78" s="18">
        <v>1157.6000549999999</v>
      </c>
      <c r="I78" s="19">
        <v>9414.0899449999997</v>
      </c>
      <c r="J78" s="12">
        <v>18400</v>
      </c>
      <c r="K78" s="8">
        <v>5210</v>
      </c>
      <c r="L78" s="20">
        <v>1388.6</v>
      </c>
      <c r="M78" s="20">
        <v>245</v>
      </c>
      <c r="N78" s="12">
        <v>107.06</v>
      </c>
      <c r="O78" s="12">
        <v>4444.5166284999996</v>
      </c>
      <c r="P78" s="22">
        <v>0.42041685184677191</v>
      </c>
      <c r="Q78" s="12">
        <v>0</v>
      </c>
      <c r="R78" s="12">
        <v>925</v>
      </c>
      <c r="S78" s="12">
        <v>0</v>
      </c>
      <c r="T78" s="12">
        <v>925</v>
      </c>
      <c r="U78" s="12">
        <v>25.107362400072763</v>
      </c>
      <c r="V78" s="12">
        <v>7681.68</v>
      </c>
      <c r="W78" s="12">
        <v>6420</v>
      </c>
      <c r="X78" s="12">
        <v>594.6099999999999</v>
      </c>
      <c r="Y78" s="12">
        <v>-996</v>
      </c>
      <c r="Z78" s="21">
        <v>48324.573990900069</v>
      </c>
      <c r="AA78" s="21">
        <v>-38910.48404590007</v>
      </c>
      <c r="AB78" s="21">
        <v>-46778.48404590007</v>
      </c>
      <c r="AC78" s="12"/>
      <c r="AD78" s="12"/>
      <c r="AE78" s="12"/>
      <c r="AF78" s="12"/>
      <c r="BH78"/>
      <c r="BI78"/>
    </row>
    <row r="79" spans="1:61" ht="14.25" customHeight="1" x14ac:dyDescent="0.3">
      <c r="A79" s="1" t="s">
        <v>79</v>
      </c>
      <c r="B79" s="2" t="s">
        <v>250</v>
      </c>
      <c r="C79" s="2" t="s">
        <v>179</v>
      </c>
      <c r="D79" s="2" t="s">
        <v>311</v>
      </c>
      <c r="E79" s="2" t="s">
        <v>156</v>
      </c>
      <c r="F79" s="4">
        <v>1604</v>
      </c>
      <c r="G79" s="17">
        <v>1781.22</v>
      </c>
      <c r="H79" s="18">
        <v>195.04358999999999</v>
      </c>
      <c r="I79" s="19">
        <v>1586.17641</v>
      </c>
      <c r="J79" s="12">
        <v>18400</v>
      </c>
      <c r="K79" s="8">
        <v>5210</v>
      </c>
      <c r="L79" s="20">
        <v>540.221404109589</v>
      </c>
      <c r="M79" s="20">
        <v>245</v>
      </c>
      <c r="N79" s="12">
        <v>107.06</v>
      </c>
      <c r="O79" s="12">
        <v>4134.1192815000004</v>
      </c>
      <c r="P79" s="22">
        <v>2.32094815996901</v>
      </c>
      <c r="Q79" s="12">
        <v>1382</v>
      </c>
      <c r="R79" s="12">
        <v>200</v>
      </c>
      <c r="S79" s="12">
        <v>20.54</v>
      </c>
      <c r="T79" s="12">
        <v>200</v>
      </c>
      <c r="U79" s="12">
        <v>3.0976767989568903</v>
      </c>
      <c r="V79" s="12">
        <v>2164</v>
      </c>
      <c r="W79" s="12">
        <v>0</v>
      </c>
      <c r="X79" s="12">
        <v>279.36</v>
      </c>
      <c r="Y79" s="12">
        <v>-996</v>
      </c>
      <c r="Z79" s="21">
        <v>34138.398362408552</v>
      </c>
      <c r="AA79" s="21">
        <v>-32552.221952408552</v>
      </c>
      <c r="AB79" s="21">
        <v>-39715.221952408552</v>
      </c>
      <c r="AC79" s="12"/>
      <c r="AD79" s="12"/>
      <c r="AE79" s="12"/>
      <c r="AF79" s="12"/>
      <c r="BH79"/>
      <c r="BI79"/>
    </row>
    <row r="80" spans="1:61" ht="14.25" customHeight="1" x14ac:dyDescent="0.3">
      <c r="A80" s="1" t="s">
        <v>80</v>
      </c>
      <c r="B80" s="2" t="s">
        <v>251</v>
      </c>
      <c r="C80" s="2" t="s">
        <v>176</v>
      </c>
      <c r="D80" s="2" t="s">
        <v>312</v>
      </c>
      <c r="E80" s="2" t="s">
        <v>156</v>
      </c>
      <c r="F80" s="4">
        <v>1518</v>
      </c>
      <c r="G80" s="17">
        <v>0</v>
      </c>
      <c r="H80" s="18">
        <v>0</v>
      </c>
      <c r="I80" s="19">
        <v>0</v>
      </c>
      <c r="J80" s="12">
        <v>9200</v>
      </c>
      <c r="K80" s="8">
        <v>5210</v>
      </c>
      <c r="L80" s="20">
        <v>61.081404109589037</v>
      </c>
      <c r="M80" s="20">
        <v>245</v>
      </c>
      <c r="N80" s="12">
        <v>107.06</v>
      </c>
      <c r="O80" s="12">
        <v>2460.5658675</v>
      </c>
      <c r="P80" s="22" t="s">
        <v>167</v>
      </c>
      <c r="Q80" s="12">
        <v>2361.5899999999997</v>
      </c>
      <c r="R80" s="12">
        <v>225</v>
      </c>
      <c r="S80" s="12">
        <v>19.63</v>
      </c>
      <c r="T80" s="12">
        <v>225</v>
      </c>
      <c r="U80" s="12">
        <v>2.9315918833020946</v>
      </c>
      <c r="V80" s="12">
        <v>0</v>
      </c>
      <c r="W80" s="12">
        <v>0</v>
      </c>
      <c r="X80" s="12">
        <v>0</v>
      </c>
      <c r="Y80" s="12">
        <v>-996</v>
      </c>
      <c r="Z80" s="21">
        <v>21370.858863492893</v>
      </c>
      <c r="AA80" s="21">
        <v>-21370.858863492893</v>
      </c>
      <c r="AB80" s="21">
        <v>-28533.858863492893</v>
      </c>
      <c r="AC80" s="12"/>
      <c r="AD80" s="12"/>
      <c r="AE80" s="12"/>
      <c r="AF80" s="12"/>
      <c r="BH80"/>
      <c r="BI80"/>
    </row>
    <row r="81" spans="1:61" ht="14.25" customHeight="1" x14ac:dyDescent="0.3">
      <c r="A81" s="1" t="s">
        <v>81</v>
      </c>
      <c r="B81" s="2" t="s">
        <v>252</v>
      </c>
      <c r="C81" s="2" t="s">
        <v>176</v>
      </c>
      <c r="D81" s="2" t="s">
        <v>312</v>
      </c>
      <c r="E81" s="2" t="s">
        <v>156</v>
      </c>
      <c r="F81" s="4">
        <v>1478</v>
      </c>
      <c r="G81" s="17">
        <v>0</v>
      </c>
      <c r="H81" s="18">
        <v>0</v>
      </c>
      <c r="I81" s="19">
        <v>0</v>
      </c>
      <c r="J81" s="12">
        <v>9200</v>
      </c>
      <c r="K81" s="8">
        <v>5210</v>
      </c>
      <c r="L81" s="20">
        <v>61.081404109589037</v>
      </c>
      <c r="M81" s="20">
        <v>245</v>
      </c>
      <c r="N81" s="12">
        <v>107.06</v>
      </c>
      <c r="O81" s="12">
        <v>4097.4451472500004</v>
      </c>
      <c r="P81" s="22" t="s">
        <v>167</v>
      </c>
      <c r="Q81" s="12">
        <v>2001.26</v>
      </c>
      <c r="R81" s="12">
        <v>225</v>
      </c>
      <c r="S81" s="12">
        <v>19.63</v>
      </c>
      <c r="T81" s="12">
        <v>225</v>
      </c>
      <c r="U81" s="12">
        <v>2.8543430853231198</v>
      </c>
      <c r="V81" s="12">
        <v>7713.7999999999993</v>
      </c>
      <c r="W81" s="12">
        <v>0</v>
      </c>
      <c r="X81" s="12">
        <v>0</v>
      </c>
      <c r="Y81" s="12">
        <v>-996</v>
      </c>
      <c r="Z81" s="21">
        <v>30361.130894444912</v>
      </c>
      <c r="AA81" s="21">
        <v>-30361.130894444912</v>
      </c>
      <c r="AB81" s="21">
        <v>-37524.130894444912</v>
      </c>
      <c r="AC81" s="12"/>
      <c r="AD81" s="12"/>
      <c r="AE81" s="12"/>
      <c r="AF81" s="12"/>
      <c r="BH81"/>
      <c r="BI81"/>
    </row>
    <row r="82" spans="1:61" ht="14.25" customHeight="1" x14ac:dyDescent="0.3">
      <c r="A82" s="1" t="s">
        <v>82</v>
      </c>
      <c r="B82" s="2" t="s">
        <v>253</v>
      </c>
      <c r="C82" s="2" t="s">
        <v>176</v>
      </c>
      <c r="D82" s="2" t="s">
        <v>312</v>
      </c>
      <c r="E82" s="2" t="s">
        <v>156</v>
      </c>
      <c r="F82" s="4">
        <v>1372</v>
      </c>
      <c r="G82" s="17">
        <v>0</v>
      </c>
      <c r="H82" s="18">
        <v>0</v>
      </c>
      <c r="I82" s="19">
        <v>0</v>
      </c>
      <c r="J82" s="12">
        <v>9200</v>
      </c>
      <c r="K82" s="8">
        <v>5210</v>
      </c>
      <c r="L82" s="20">
        <v>61.081404109589037</v>
      </c>
      <c r="M82" s="20">
        <v>245</v>
      </c>
      <c r="N82" s="12">
        <v>107.06</v>
      </c>
      <c r="O82" s="12">
        <v>5407.1110827499997</v>
      </c>
      <c r="P82" s="22" t="s">
        <v>167</v>
      </c>
      <c r="Q82" s="12">
        <v>2820.98</v>
      </c>
      <c r="R82" s="12">
        <v>0</v>
      </c>
      <c r="S82" s="12">
        <v>46.16</v>
      </c>
      <c r="T82" s="12">
        <v>0</v>
      </c>
      <c r="U82" s="12">
        <v>2.6496337706788364</v>
      </c>
      <c r="V82" s="12">
        <v>4328</v>
      </c>
      <c r="W82" s="12">
        <v>0</v>
      </c>
      <c r="X82" s="12">
        <v>0</v>
      </c>
      <c r="Y82" s="12">
        <v>-996</v>
      </c>
      <c r="Z82" s="21">
        <v>28681.042120630264</v>
      </c>
      <c r="AA82" s="21">
        <v>-28681.042120630264</v>
      </c>
      <c r="AB82" s="21">
        <v>-35844.042120630264</v>
      </c>
      <c r="AC82" s="12"/>
      <c r="AD82" s="12"/>
      <c r="AE82" s="12"/>
      <c r="AF82" s="12"/>
      <c r="BH82"/>
      <c r="BI82"/>
    </row>
    <row r="83" spans="1:61" ht="14.25" customHeight="1" x14ac:dyDescent="0.3">
      <c r="A83" s="1" t="s">
        <v>83</v>
      </c>
      <c r="B83" s="2" t="s">
        <v>254</v>
      </c>
      <c r="C83" s="2" t="s">
        <v>179</v>
      </c>
      <c r="D83" s="2" t="s">
        <v>311</v>
      </c>
      <c r="E83" s="2" t="s">
        <v>156</v>
      </c>
      <c r="F83" s="4">
        <v>1334</v>
      </c>
      <c r="G83" s="17">
        <v>5774.48</v>
      </c>
      <c r="H83" s="18">
        <v>632.3055599999999</v>
      </c>
      <c r="I83" s="19">
        <v>5142.1744399999998</v>
      </c>
      <c r="J83" s="12">
        <v>18400</v>
      </c>
      <c r="K83" s="8">
        <v>5210</v>
      </c>
      <c r="L83" s="20">
        <v>801.26140410958897</v>
      </c>
      <c r="M83" s="20">
        <v>245</v>
      </c>
      <c r="N83" s="12">
        <v>107.06</v>
      </c>
      <c r="O83" s="12">
        <v>2942.7400632499998</v>
      </c>
      <c r="P83" s="22">
        <v>0.50961126599278206</v>
      </c>
      <c r="Q83" s="12">
        <v>0</v>
      </c>
      <c r="R83" s="12">
        <v>225</v>
      </c>
      <c r="S83" s="12">
        <v>1628</v>
      </c>
      <c r="T83" s="12">
        <v>225</v>
      </c>
      <c r="U83" s="12">
        <v>2.5762474125988102</v>
      </c>
      <c r="V83" s="12">
        <v>6241.380000000001</v>
      </c>
      <c r="W83" s="12">
        <v>6420</v>
      </c>
      <c r="X83" s="12">
        <v>0</v>
      </c>
      <c r="Y83" s="12">
        <v>-996</v>
      </c>
      <c r="Z83" s="21">
        <v>43701.017714772184</v>
      </c>
      <c r="AA83" s="21">
        <v>-38558.843274772182</v>
      </c>
      <c r="AB83" s="21">
        <v>-45721.843274772182</v>
      </c>
      <c r="AC83" s="12"/>
      <c r="AD83" s="12"/>
      <c r="AE83" s="12"/>
      <c r="AF83" s="12"/>
      <c r="BH83"/>
      <c r="BI83"/>
    </row>
    <row r="84" spans="1:61" ht="14.25" customHeight="1" x14ac:dyDescent="0.3">
      <c r="A84" s="1" t="s">
        <v>84</v>
      </c>
      <c r="B84" s="2" t="s">
        <v>255</v>
      </c>
      <c r="C84" s="2" t="s">
        <v>176</v>
      </c>
      <c r="D84" s="2" t="s">
        <v>312</v>
      </c>
      <c r="E84" s="2" t="s">
        <v>156</v>
      </c>
      <c r="F84" s="4">
        <v>1318</v>
      </c>
      <c r="G84" s="17">
        <v>0</v>
      </c>
      <c r="H84" s="18">
        <v>0</v>
      </c>
      <c r="I84" s="19">
        <v>0</v>
      </c>
      <c r="J84" s="12">
        <v>9200</v>
      </c>
      <c r="K84" s="8">
        <v>5210</v>
      </c>
      <c r="L84" s="20">
        <v>61.081404109589037</v>
      </c>
      <c r="M84" s="20">
        <v>245</v>
      </c>
      <c r="N84" s="12">
        <v>107.06</v>
      </c>
      <c r="O84" s="12">
        <v>3660.9625032499998</v>
      </c>
      <c r="P84" s="22" t="s">
        <v>167</v>
      </c>
      <c r="Q84" s="12">
        <v>2348.27</v>
      </c>
      <c r="R84" s="12">
        <v>375</v>
      </c>
      <c r="S84" s="12">
        <v>191.88</v>
      </c>
      <c r="T84" s="12">
        <v>375</v>
      </c>
      <c r="U84" s="12">
        <v>2.5453478934072202</v>
      </c>
      <c r="V84" s="12">
        <v>0</v>
      </c>
      <c r="W84" s="12">
        <v>0</v>
      </c>
      <c r="X84" s="12">
        <v>0</v>
      </c>
      <c r="Y84" s="12">
        <v>-996</v>
      </c>
      <c r="Z84" s="21">
        <v>23029.799255252998</v>
      </c>
      <c r="AA84" s="21">
        <v>-23029.799255252998</v>
      </c>
      <c r="AB84" s="21">
        <v>-30192.799255252998</v>
      </c>
      <c r="AC84" s="12"/>
      <c r="AD84" s="12"/>
      <c r="AE84" s="12"/>
      <c r="AF84" s="12"/>
      <c r="BH84"/>
      <c r="BI84"/>
    </row>
    <row r="85" spans="1:61" ht="14.25" customHeight="1" x14ac:dyDescent="0.3">
      <c r="A85" s="1" t="s">
        <v>85</v>
      </c>
      <c r="B85" s="2" t="s">
        <v>256</v>
      </c>
      <c r="C85" s="2" t="s">
        <v>177</v>
      </c>
      <c r="D85" s="2" t="s">
        <v>312</v>
      </c>
      <c r="E85" s="2" t="s">
        <v>154</v>
      </c>
      <c r="F85" s="4">
        <v>1250</v>
      </c>
      <c r="G85" s="17">
        <v>0</v>
      </c>
      <c r="H85" s="18">
        <v>0</v>
      </c>
      <c r="I85" s="19">
        <v>0</v>
      </c>
      <c r="J85" s="12">
        <v>0</v>
      </c>
      <c r="K85" s="8">
        <v>5210</v>
      </c>
      <c r="L85" s="20">
        <v>0</v>
      </c>
      <c r="M85" s="20">
        <v>245</v>
      </c>
      <c r="N85" s="12">
        <v>107.06</v>
      </c>
      <c r="O85" s="12">
        <v>3452.3827000000001</v>
      </c>
      <c r="P85" s="22" t="s">
        <v>167</v>
      </c>
      <c r="Q85" s="12">
        <v>4043.5000000000005</v>
      </c>
      <c r="R85" s="12">
        <v>225</v>
      </c>
      <c r="S85" s="12">
        <v>151.25</v>
      </c>
      <c r="T85" s="12">
        <v>225</v>
      </c>
      <c r="U85" s="12">
        <v>19.457038437750125</v>
      </c>
      <c r="V85" s="12">
        <v>3365.68</v>
      </c>
      <c r="W85" s="12">
        <v>0</v>
      </c>
      <c r="X85" s="12">
        <v>0</v>
      </c>
      <c r="Y85" s="12">
        <v>-996</v>
      </c>
      <c r="Z85" s="21">
        <v>19002.329738437751</v>
      </c>
      <c r="AA85" s="21">
        <v>-19002.329738437751</v>
      </c>
      <c r="AB85" s="21">
        <v>-26870.329738437751</v>
      </c>
      <c r="AC85" s="12"/>
      <c r="AD85" s="12"/>
      <c r="AE85" s="12"/>
      <c r="AF85" s="12"/>
      <c r="BH85"/>
      <c r="BI85"/>
    </row>
    <row r="86" spans="1:61" ht="14.25" customHeight="1" x14ac:dyDescent="0.3">
      <c r="A86" s="1" t="s">
        <v>86</v>
      </c>
      <c r="B86" s="2" t="s">
        <v>257</v>
      </c>
      <c r="C86" s="2" t="s">
        <v>176</v>
      </c>
      <c r="D86" s="2" t="s">
        <v>312</v>
      </c>
      <c r="E86" s="2" t="s">
        <v>156</v>
      </c>
      <c r="F86" s="4">
        <v>1219</v>
      </c>
      <c r="G86" s="17">
        <v>0</v>
      </c>
      <c r="H86" s="18">
        <v>0</v>
      </c>
      <c r="I86" s="19">
        <v>0</v>
      </c>
      <c r="J86" s="12">
        <v>9200</v>
      </c>
      <c r="K86" s="8">
        <v>5210</v>
      </c>
      <c r="L86" s="20">
        <v>61.081404109589037</v>
      </c>
      <c r="M86" s="20">
        <v>245</v>
      </c>
      <c r="N86" s="12">
        <v>107.06</v>
      </c>
      <c r="O86" s="12">
        <v>1873.49235125</v>
      </c>
      <c r="P86" s="22" t="s">
        <v>167</v>
      </c>
      <c r="Q86" s="12">
        <v>1586.8999999999999</v>
      </c>
      <c r="R86" s="12">
        <v>450</v>
      </c>
      <c r="S86" s="12">
        <v>1.44</v>
      </c>
      <c r="T86" s="12">
        <v>450</v>
      </c>
      <c r="U86" s="12">
        <v>2.3541571184092578</v>
      </c>
      <c r="V86" s="12">
        <v>2372</v>
      </c>
      <c r="W86" s="12">
        <v>0</v>
      </c>
      <c r="X86" s="12">
        <v>0</v>
      </c>
      <c r="Y86" s="12">
        <v>-996</v>
      </c>
      <c r="Z86" s="21">
        <v>22812.327912477995</v>
      </c>
      <c r="AA86" s="21">
        <v>-22812.327912477995</v>
      </c>
      <c r="AB86" s="21">
        <v>-29975.327912477995</v>
      </c>
      <c r="AC86" s="12"/>
      <c r="AD86" s="12"/>
      <c r="AE86" s="12"/>
      <c r="AF86" s="12"/>
      <c r="BH86"/>
      <c r="BI86"/>
    </row>
    <row r="87" spans="1:61" ht="14.25" customHeight="1" x14ac:dyDescent="0.3">
      <c r="A87" s="1" t="s">
        <v>87</v>
      </c>
      <c r="B87" s="2" t="s">
        <v>258</v>
      </c>
      <c r="C87" s="2" t="s">
        <v>178</v>
      </c>
      <c r="D87" s="2" t="s">
        <v>311</v>
      </c>
      <c r="E87" s="2" t="s">
        <v>156</v>
      </c>
      <c r="F87" s="4">
        <v>1039</v>
      </c>
      <c r="G87" s="17">
        <v>3464.33</v>
      </c>
      <c r="H87" s="18">
        <v>379.34413499999999</v>
      </c>
      <c r="I87" s="19">
        <v>3084.9858650000001</v>
      </c>
      <c r="J87" s="12">
        <v>9200</v>
      </c>
      <c r="K87" s="8">
        <v>5210</v>
      </c>
      <c r="L87" s="20">
        <v>552.19140410958903</v>
      </c>
      <c r="M87" s="20">
        <v>245</v>
      </c>
      <c r="N87" s="12">
        <v>107.06</v>
      </c>
      <c r="O87" s="12">
        <v>2530.7035390000001</v>
      </c>
      <c r="P87" s="22">
        <v>0.73050302338403106</v>
      </c>
      <c r="Q87" s="12">
        <v>2496.36</v>
      </c>
      <c r="R87" s="12">
        <v>0</v>
      </c>
      <c r="S87" s="12">
        <v>39.26</v>
      </c>
      <c r="T87" s="12">
        <v>0</v>
      </c>
      <c r="U87" s="12">
        <v>2.006537527503871</v>
      </c>
      <c r="V87" s="12">
        <v>2268</v>
      </c>
      <c r="W87" s="12">
        <v>0</v>
      </c>
      <c r="X87" s="12">
        <v>268.85999999999996</v>
      </c>
      <c r="Y87" s="12">
        <v>-996</v>
      </c>
      <c r="Z87" s="21">
        <v>24172.441480637091</v>
      </c>
      <c r="AA87" s="21">
        <v>-21087.455615637093</v>
      </c>
      <c r="AB87" s="21">
        <v>-28250.455615637093</v>
      </c>
      <c r="AC87" s="12"/>
      <c r="AD87" s="12"/>
      <c r="AE87" s="12"/>
      <c r="AF87" s="12"/>
      <c r="BH87"/>
      <c r="BI87"/>
    </row>
    <row r="88" spans="1:61" ht="14.25" customHeight="1" x14ac:dyDescent="0.3">
      <c r="A88" s="1" t="s">
        <v>88</v>
      </c>
      <c r="B88" s="2" t="s">
        <v>259</v>
      </c>
      <c r="C88" s="2" t="s">
        <v>178</v>
      </c>
      <c r="D88" s="2" t="s">
        <v>311</v>
      </c>
      <c r="E88" s="2" t="s">
        <v>156</v>
      </c>
      <c r="F88" s="4">
        <v>1019</v>
      </c>
      <c r="G88" s="17">
        <v>6554.5199999999995</v>
      </c>
      <c r="H88" s="18">
        <v>717.71993999999995</v>
      </c>
      <c r="I88" s="19">
        <v>5836.8000599999996</v>
      </c>
      <c r="J88" s="12">
        <v>9200</v>
      </c>
      <c r="K88" s="8">
        <v>5210</v>
      </c>
      <c r="L88" s="20">
        <v>555.51140410958897</v>
      </c>
      <c r="M88" s="20">
        <v>245</v>
      </c>
      <c r="N88" s="12">
        <v>107.06</v>
      </c>
      <c r="O88" s="12">
        <v>3046.0539037499998</v>
      </c>
      <c r="P88" s="22">
        <v>0.46472570130993573</v>
      </c>
      <c r="Q88" s="12">
        <v>5138.63</v>
      </c>
      <c r="R88" s="12">
        <v>0</v>
      </c>
      <c r="S88" s="12">
        <v>3257.2699999999995</v>
      </c>
      <c r="T88" s="12">
        <v>0</v>
      </c>
      <c r="U88" s="12">
        <v>1.9679131285143836</v>
      </c>
      <c r="V88" s="12">
        <v>218</v>
      </c>
      <c r="W88" s="12">
        <v>3411</v>
      </c>
      <c r="X88" s="12">
        <v>651.54999999999995</v>
      </c>
      <c r="Y88" s="12">
        <v>-996</v>
      </c>
      <c r="Z88" s="21">
        <v>32295.0432209881</v>
      </c>
      <c r="AA88" s="21">
        <v>-26458.243160988102</v>
      </c>
      <c r="AB88" s="21">
        <v>-33621.243160988102</v>
      </c>
      <c r="AC88" s="12"/>
      <c r="AD88" s="12"/>
      <c r="AE88" s="12"/>
      <c r="AF88" s="12"/>
      <c r="BH88"/>
      <c r="BI88"/>
    </row>
    <row r="89" spans="1:61" ht="14.25" customHeight="1" x14ac:dyDescent="0.3">
      <c r="A89" s="1" t="s">
        <v>89</v>
      </c>
      <c r="B89" s="2" t="s">
        <v>260</v>
      </c>
      <c r="C89" s="2" t="s">
        <v>180</v>
      </c>
      <c r="D89" s="2" t="s">
        <v>311</v>
      </c>
      <c r="E89" s="2" t="s">
        <v>156</v>
      </c>
      <c r="F89" s="4">
        <v>987</v>
      </c>
      <c r="G89" s="17">
        <v>6977.920000000001</v>
      </c>
      <c r="H89" s="18">
        <v>764.08224000000007</v>
      </c>
      <c r="I89" s="19">
        <v>6213.8377600000013</v>
      </c>
      <c r="J89" s="12">
        <v>18400</v>
      </c>
      <c r="K89" s="8">
        <v>5210</v>
      </c>
      <c r="L89" s="20">
        <v>691.57140410958903</v>
      </c>
      <c r="M89" s="20">
        <v>245</v>
      </c>
      <c r="N89" s="12">
        <v>107.06</v>
      </c>
      <c r="O89" s="12">
        <v>2276.1051787500001</v>
      </c>
      <c r="P89" s="22">
        <v>0.32618676894404058</v>
      </c>
      <c r="Q89" s="12">
        <v>0</v>
      </c>
      <c r="R89" s="12">
        <v>360</v>
      </c>
      <c r="S89" s="12">
        <v>148.16</v>
      </c>
      <c r="T89" s="12">
        <v>360</v>
      </c>
      <c r="U89" s="12">
        <v>1.9061140901312037</v>
      </c>
      <c r="V89" s="12">
        <v>2268</v>
      </c>
      <c r="W89" s="12">
        <v>6420</v>
      </c>
      <c r="X89" s="12">
        <v>335.91999999999996</v>
      </c>
      <c r="Y89" s="12">
        <v>-996</v>
      </c>
      <c r="Z89" s="21">
        <v>38076.722696949728</v>
      </c>
      <c r="AA89" s="21">
        <v>-31862.884936949726</v>
      </c>
      <c r="AB89" s="21">
        <v>-39025.884936949726</v>
      </c>
      <c r="AC89" s="12"/>
      <c r="AD89" s="12"/>
      <c r="AE89" s="12"/>
      <c r="AF89" s="12"/>
      <c r="BH89"/>
      <c r="BI89"/>
    </row>
    <row r="90" spans="1:61" ht="14.25" customHeight="1" x14ac:dyDescent="0.3">
      <c r="A90" s="1" t="s">
        <v>90</v>
      </c>
      <c r="B90" s="2" t="s">
        <v>261</v>
      </c>
      <c r="C90" s="2" t="s">
        <v>177</v>
      </c>
      <c r="D90" s="2" t="s">
        <v>312</v>
      </c>
      <c r="E90" s="2" t="s">
        <v>154</v>
      </c>
      <c r="F90" s="4">
        <v>977</v>
      </c>
      <c r="G90" s="17">
        <v>0</v>
      </c>
      <c r="H90" s="18">
        <v>0</v>
      </c>
      <c r="I90" s="19">
        <v>0</v>
      </c>
      <c r="J90" s="12">
        <v>0</v>
      </c>
      <c r="K90" s="8">
        <v>5210</v>
      </c>
      <c r="L90" s="20">
        <v>61.081404109589037</v>
      </c>
      <c r="M90" s="20">
        <v>245</v>
      </c>
      <c r="N90" s="12">
        <v>107.06</v>
      </c>
      <c r="O90" s="12">
        <v>3288.3449755000001</v>
      </c>
      <c r="P90" s="22" t="s">
        <v>167</v>
      </c>
      <c r="Q90" s="12">
        <v>2687.7400000000002</v>
      </c>
      <c r="R90" s="12">
        <v>0</v>
      </c>
      <c r="S90" s="12">
        <v>39.26</v>
      </c>
      <c r="T90" s="12">
        <v>0</v>
      </c>
      <c r="U90" s="12">
        <v>15.207621242945498</v>
      </c>
      <c r="V90" s="12">
        <v>436</v>
      </c>
      <c r="W90" s="12">
        <v>0</v>
      </c>
      <c r="X90" s="12">
        <v>0</v>
      </c>
      <c r="Y90" s="12">
        <v>-996</v>
      </c>
      <c r="Z90" s="21">
        <v>14047.694000852534</v>
      </c>
      <c r="AA90" s="21">
        <v>-14047.694000852534</v>
      </c>
      <c r="AB90" s="21">
        <v>-21915.694000852534</v>
      </c>
      <c r="AC90" s="12"/>
      <c r="AD90" s="12"/>
      <c r="AE90" s="12"/>
      <c r="AF90" s="12"/>
      <c r="BH90"/>
      <c r="BI90"/>
    </row>
    <row r="91" spans="1:61" ht="14.25" customHeight="1" x14ac:dyDescent="0.3">
      <c r="A91" s="1" t="s">
        <v>91</v>
      </c>
      <c r="B91" s="13" t="s">
        <v>262</v>
      </c>
      <c r="C91" s="2" t="s">
        <v>177</v>
      </c>
      <c r="D91" s="2" t="s">
        <v>312</v>
      </c>
      <c r="E91" s="2" t="s">
        <v>154</v>
      </c>
      <c r="F91" s="4">
        <v>970</v>
      </c>
      <c r="G91" s="17">
        <v>0</v>
      </c>
      <c r="H91" s="18">
        <v>0</v>
      </c>
      <c r="I91" s="19">
        <v>0</v>
      </c>
      <c r="J91" s="12">
        <v>0</v>
      </c>
      <c r="K91" s="8">
        <v>5210</v>
      </c>
      <c r="L91" s="20">
        <v>61.081404109589037</v>
      </c>
      <c r="M91" s="20">
        <v>245</v>
      </c>
      <c r="N91" s="12">
        <v>107.06</v>
      </c>
      <c r="O91" s="12">
        <v>3824.9011352500002</v>
      </c>
      <c r="P91" s="22" t="s">
        <v>167</v>
      </c>
      <c r="Q91" s="12">
        <v>4784.49</v>
      </c>
      <c r="R91" s="12">
        <v>225</v>
      </c>
      <c r="S91" s="12">
        <v>0</v>
      </c>
      <c r="T91" s="12">
        <v>225</v>
      </c>
      <c r="U91" s="12">
        <v>15.098661827694098</v>
      </c>
      <c r="V91" s="12">
        <v>2372</v>
      </c>
      <c r="W91" s="12">
        <v>0</v>
      </c>
      <c r="X91" s="12">
        <v>0</v>
      </c>
      <c r="Y91" s="12">
        <v>-996</v>
      </c>
      <c r="Z91" s="21">
        <v>19027.63120118728</v>
      </c>
      <c r="AA91" s="21">
        <v>-19027.63120118728</v>
      </c>
      <c r="AB91" s="21">
        <v>-26895.63120118728</v>
      </c>
      <c r="AC91" s="12"/>
      <c r="AD91" s="12"/>
      <c r="AE91" s="12"/>
      <c r="AF91" s="12"/>
      <c r="BH91"/>
      <c r="BI91"/>
    </row>
    <row r="92" spans="1:61" ht="14.25" customHeight="1" x14ac:dyDescent="0.3">
      <c r="A92" s="1" t="s">
        <v>92</v>
      </c>
      <c r="B92" s="2" t="s">
        <v>263</v>
      </c>
      <c r="C92" s="2" t="s">
        <v>178</v>
      </c>
      <c r="D92" s="2" t="s">
        <v>311</v>
      </c>
      <c r="E92" s="2" t="s">
        <v>156</v>
      </c>
      <c r="F92" s="4">
        <v>911</v>
      </c>
      <c r="G92" s="17">
        <v>7001.8700000000008</v>
      </c>
      <c r="H92" s="18">
        <v>766.70476500000007</v>
      </c>
      <c r="I92" s="19">
        <v>6235.1652350000004</v>
      </c>
      <c r="J92" s="12">
        <v>9200</v>
      </c>
      <c r="K92" s="8">
        <v>5210</v>
      </c>
      <c r="L92" s="20">
        <v>682.51140410958908</v>
      </c>
      <c r="M92" s="20">
        <v>245</v>
      </c>
      <c r="N92" s="12">
        <v>107.06</v>
      </c>
      <c r="O92" s="12">
        <v>1136.1946049999999</v>
      </c>
      <c r="P92" s="22">
        <v>0.16227016568431002</v>
      </c>
      <c r="Q92" s="12">
        <v>5195.75</v>
      </c>
      <c r="R92" s="12">
        <v>225</v>
      </c>
      <c r="S92" s="12">
        <v>0</v>
      </c>
      <c r="T92" s="12">
        <v>225</v>
      </c>
      <c r="U92" s="12">
        <v>1.7593413739711516</v>
      </c>
      <c r="V92" s="12">
        <v>2174</v>
      </c>
      <c r="W92" s="12">
        <v>0</v>
      </c>
      <c r="X92" s="12">
        <v>615.32999999999993</v>
      </c>
      <c r="Y92" s="12">
        <v>-996</v>
      </c>
      <c r="Z92" s="21">
        <v>26270.605350483562</v>
      </c>
      <c r="AA92" s="21">
        <v>-20035.440115483561</v>
      </c>
      <c r="AB92" s="21">
        <v>-27198.440115483561</v>
      </c>
      <c r="AC92" s="12"/>
      <c r="AD92" s="12"/>
      <c r="AE92" s="12"/>
      <c r="AF92" s="12"/>
      <c r="BH92"/>
      <c r="BI92"/>
    </row>
    <row r="93" spans="1:61" ht="14.25" customHeight="1" x14ac:dyDescent="0.3">
      <c r="A93" s="1" t="s">
        <v>93</v>
      </c>
      <c r="B93" s="2" t="s">
        <v>264</v>
      </c>
      <c r="C93" s="2" t="s">
        <v>178</v>
      </c>
      <c r="D93" s="2" t="s">
        <v>311</v>
      </c>
      <c r="E93" s="2" t="s">
        <v>156</v>
      </c>
      <c r="F93" s="4">
        <v>845</v>
      </c>
      <c r="G93" s="17">
        <v>3554.08</v>
      </c>
      <c r="H93" s="18">
        <v>389.17176000000001</v>
      </c>
      <c r="I93" s="19">
        <v>3164.9082399999998</v>
      </c>
      <c r="J93" s="12">
        <v>9200</v>
      </c>
      <c r="K93" s="8">
        <v>5210</v>
      </c>
      <c r="L93" s="20">
        <v>555.6114041095891</v>
      </c>
      <c r="M93" s="20">
        <v>245</v>
      </c>
      <c r="N93" s="12">
        <v>107.06</v>
      </c>
      <c r="O93" s="12">
        <v>2467.9581680000001</v>
      </c>
      <c r="P93" s="22">
        <v>0.69440141133570432</v>
      </c>
      <c r="Q93" s="12">
        <v>3879.02</v>
      </c>
      <c r="R93" s="12">
        <v>0</v>
      </c>
      <c r="S93" s="12">
        <v>0</v>
      </c>
      <c r="T93" s="12">
        <v>0</v>
      </c>
      <c r="U93" s="12">
        <v>1.631880857305843</v>
      </c>
      <c r="V93" s="12">
        <v>5325.38</v>
      </c>
      <c r="W93" s="12">
        <v>3411</v>
      </c>
      <c r="X93" s="12">
        <v>625.49</v>
      </c>
      <c r="Y93" s="12">
        <v>-996</v>
      </c>
      <c r="Z93" s="21">
        <v>32281.151452966897</v>
      </c>
      <c r="AA93" s="21">
        <v>-29116.243212966896</v>
      </c>
      <c r="AB93" s="21">
        <v>-36279.243212966896</v>
      </c>
      <c r="AC93" s="12"/>
      <c r="AD93" s="12"/>
      <c r="AE93" s="12"/>
      <c r="AF93" s="12"/>
      <c r="BH93"/>
      <c r="BI93"/>
    </row>
    <row r="94" spans="1:61" ht="14.25" customHeight="1" x14ac:dyDescent="0.3">
      <c r="A94" s="1" t="s">
        <v>94</v>
      </c>
      <c r="B94" s="2" t="s">
        <v>265</v>
      </c>
      <c r="C94" s="2" t="s">
        <v>177</v>
      </c>
      <c r="D94" s="2" t="s">
        <v>312</v>
      </c>
      <c r="E94" s="2" t="s">
        <v>154</v>
      </c>
      <c r="F94" s="4">
        <v>819</v>
      </c>
      <c r="G94" s="17">
        <v>0</v>
      </c>
      <c r="H94" s="18">
        <v>0</v>
      </c>
      <c r="I94" s="19">
        <v>0</v>
      </c>
      <c r="J94" s="12">
        <v>0</v>
      </c>
      <c r="K94" s="8">
        <v>5210</v>
      </c>
      <c r="L94" s="20">
        <v>61.081404109589037</v>
      </c>
      <c r="M94" s="20">
        <v>245</v>
      </c>
      <c r="N94" s="12">
        <v>107.06</v>
      </c>
      <c r="O94" s="12">
        <v>1118.5363215</v>
      </c>
      <c r="P94" s="22" t="s">
        <v>167</v>
      </c>
      <c r="Q94" s="12">
        <v>3080.03</v>
      </c>
      <c r="R94" s="12">
        <v>450</v>
      </c>
      <c r="S94" s="12">
        <v>1.59</v>
      </c>
      <c r="T94" s="12">
        <v>450</v>
      </c>
      <c r="U94" s="12">
        <v>12.748251584413882</v>
      </c>
      <c r="V94" s="12">
        <v>4343.68</v>
      </c>
      <c r="W94" s="12">
        <v>0</v>
      </c>
      <c r="X94" s="12">
        <v>0</v>
      </c>
      <c r="Y94" s="12">
        <v>-996</v>
      </c>
      <c r="Z94" s="21">
        <v>17037.725977194004</v>
      </c>
      <c r="AA94" s="21">
        <v>-17037.725977194004</v>
      </c>
      <c r="AB94" s="21">
        <v>-24905.725977194004</v>
      </c>
      <c r="AC94" s="12"/>
      <c r="AD94" s="12"/>
      <c r="AE94" s="12"/>
      <c r="AF94" s="12"/>
      <c r="BH94"/>
      <c r="BI94"/>
    </row>
    <row r="95" spans="1:61" ht="14.25" customHeight="1" x14ac:dyDescent="0.3">
      <c r="A95" s="1" t="s">
        <v>95</v>
      </c>
      <c r="B95" s="2" t="s">
        <v>266</v>
      </c>
      <c r="C95" s="2" t="s">
        <v>177</v>
      </c>
      <c r="D95" s="2" t="s">
        <v>312</v>
      </c>
      <c r="E95" s="2" t="s">
        <v>155</v>
      </c>
      <c r="F95" s="4">
        <v>729</v>
      </c>
      <c r="G95" s="17">
        <v>0</v>
      </c>
      <c r="H95" s="18">
        <v>0</v>
      </c>
      <c r="I95" s="19">
        <v>0</v>
      </c>
      <c r="J95" s="12">
        <v>0</v>
      </c>
      <c r="K95" s="8">
        <v>5210</v>
      </c>
      <c r="L95" s="20">
        <v>0</v>
      </c>
      <c r="M95" s="20">
        <v>245</v>
      </c>
      <c r="N95" s="12">
        <v>107.06</v>
      </c>
      <c r="O95" s="12">
        <v>2097.3224902500001</v>
      </c>
      <c r="P95" s="22" t="s">
        <v>167</v>
      </c>
      <c r="Q95" s="12">
        <v>1501.9099999999999</v>
      </c>
      <c r="R95" s="12">
        <v>0</v>
      </c>
      <c r="S95" s="12">
        <v>0</v>
      </c>
      <c r="T95" s="12">
        <v>0</v>
      </c>
      <c r="U95" s="12">
        <v>1.407859343166816</v>
      </c>
      <c r="V95" s="12">
        <v>0</v>
      </c>
      <c r="W95" s="12">
        <v>0</v>
      </c>
      <c r="X95" s="12">
        <v>0</v>
      </c>
      <c r="Y95" s="12">
        <v>-996</v>
      </c>
      <c r="Z95" s="21">
        <v>10415.700349593168</v>
      </c>
      <c r="AA95" s="21">
        <v>-10415.700349593168</v>
      </c>
      <c r="AB95" s="21">
        <v>-17578.700349593168</v>
      </c>
      <c r="AC95" s="12"/>
      <c r="AD95" s="12"/>
      <c r="AE95" s="12"/>
      <c r="AF95" s="12"/>
      <c r="BH95"/>
      <c r="BI95"/>
    </row>
    <row r="96" spans="1:61" ht="14.25" customHeight="1" x14ac:dyDescent="0.3">
      <c r="A96" s="1" t="s">
        <v>96</v>
      </c>
      <c r="B96" s="2" t="s">
        <v>267</v>
      </c>
      <c r="C96" s="2" t="s">
        <v>177</v>
      </c>
      <c r="D96" s="2" t="s">
        <v>312</v>
      </c>
      <c r="E96" s="2" t="s">
        <v>155</v>
      </c>
      <c r="F96" s="4">
        <v>728</v>
      </c>
      <c r="G96" s="17">
        <v>0</v>
      </c>
      <c r="H96" s="18">
        <v>0</v>
      </c>
      <c r="I96" s="19">
        <v>0</v>
      </c>
      <c r="J96" s="12">
        <v>0</v>
      </c>
      <c r="K96" s="8">
        <v>5210</v>
      </c>
      <c r="L96" s="20">
        <v>392.15140410958901</v>
      </c>
      <c r="M96" s="20">
        <v>245</v>
      </c>
      <c r="N96" s="12">
        <v>107.06</v>
      </c>
      <c r="O96" s="12" t="s">
        <v>167</v>
      </c>
      <c r="P96" s="22" t="s">
        <v>167</v>
      </c>
      <c r="Q96" s="12">
        <v>2535.0800000000004</v>
      </c>
      <c r="R96" s="12">
        <v>0</v>
      </c>
      <c r="S96" s="12">
        <v>19.63</v>
      </c>
      <c r="T96" s="12">
        <v>0</v>
      </c>
      <c r="U96" s="12">
        <v>1.4059281232173417</v>
      </c>
      <c r="V96" s="12">
        <v>0</v>
      </c>
      <c r="W96" s="12">
        <v>0</v>
      </c>
      <c r="X96" s="12">
        <v>0</v>
      </c>
      <c r="Y96" s="12">
        <v>-996</v>
      </c>
      <c r="Z96" s="21">
        <v>9763.3273322328059</v>
      </c>
      <c r="AA96" s="21">
        <v>-9763.3273322328059</v>
      </c>
      <c r="AB96" s="21">
        <v>-16926.327332232806</v>
      </c>
      <c r="AC96" s="12"/>
      <c r="AD96" s="12"/>
      <c r="AE96" s="12"/>
      <c r="AF96" s="12"/>
      <c r="BH96"/>
      <c r="BI96"/>
    </row>
    <row r="97" spans="1:61" ht="14.25" customHeight="1" x14ac:dyDescent="0.3">
      <c r="A97" s="1" t="s">
        <v>97</v>
      </c>
      <c r="B97" s="2" t="s">
        <v>268</v>
      </c>
      <c r="C97" s="2" t="s">
        <v>177</v>
      </c>
      <c r="D97" s="2" t="s">
        <v>312</v>
      </c>
      <c r="E97" s="2" t="s">
        <v>155</v>
      </c>
      <c r="F97" s="4">
        <v>672</v>
      </c>
      <c r="G97" s="17">
        <v>0</v>
      </c>
      <c r="H97" s="18">
        <v>0</v>
      </c>
      <c r="I97" s="19">
        <v>0</v>
      </c>
      <c r="J97" s="12">
        <v>0</v>
      </c>
      <c r="K97" s="8">
        <v>5210</v>
      </c>
      <c r="L97" s="20">
        <v>61.081404109589037</v>
      </c>
      <c r="M97" s="20">
        <v>245</v>
      </c>
      <c r="N97" s="12">
        <v>107.06</v>
      </c>
      <c r="O97" s="12">
        <v>3011.7084432500001</v>
      </c>
      <c r="P97" s="22" t="s">
        <v>167</v>
      </c>
      <c r="Q97" s="12">
        <v>2900.57</v>
      </c>
      <c r="R97" s="12">
        <v>0</v>
      </c>
      <c r="S97" s="12">
        <v>0</v>
      </c>
      <c r="T97" s="12">
        <v>0</v>
      </c>
      <c r="U97" s="12">
        <v>1.2977798060467769</v>
      </c>
      <c r="V97" s="12">
        <v>7271.8</v>
      </c>
      <c r="W97" s="12">
        <v>0</v>
      </c>
      <c r="X97" s="12">
        <v>0</v>
      </c>
      <c r="Y97" s="12">
        <v>-996</v>
      </c>
      <c r="Z97" s="21">
        <v>20061.517627165638</v>
      </c>
      <c r="AA97" s="21">
        <v>-20061.517627165638</v>
      </c>
      <c r="AB97" s="21">
        <v>-27224.517627165638</v>
      </c>
      <c r="AC97" s="12"/>
      <c r="AD97" s="12"/>
      <c r="AE97" s="12"/>
      <c r="AF97" s="12"/>
      <c r="BH97"/>
      <c r="BI97"/>
    </row>
    <row r="98" spans="1:61" ht="14.25" customHeight="1" x14ac:dyDescent="0.3">
      <c r="A98" s="1" t="s">
        <v>98</v>
      </c>
      <c r="B98" s="2" t="s">
        <v>269</v>
      </c>
      <c r="C98" s="2" t="s">
        <v>177</v>
      </c>
      <c r="D98" s="2" t="s">
        <v>312</v>
      </c>
      <c r="E98" s="2" t="s">
        <v>155</v>
      </c>
      <c r="F98" s="4">
        <v>634</v>
      </c>
      <c r="G98" s="17">
        <v>0</v>
      </c>
      <c r="H98" s="18">
        <v>0</v>
      </c>
      <c r="I98" s="19">
        <v>0</v>
      </c>
      <c r="J98" s="12">
        <v>0</v>
      </c>
      <c r="K98" s="8">
        <v>5210</v>
      </c>
      <c r="L98" s="20">
        <v>61.081404109589037</v>
      </c>
      <c r="M98" s="20">
        <v>245</v>
      </c>
      <c r="N98" s="12">
        <v>107.06</v>
      </c>
      <c r="O98" s="12">
        <v>2333.2716420000002</v>
      </c>
      <c r="P98" s="22" t="s">
        <v>167</v>
      </c>
      <c r="Q98" s="12">
        <v>2446.3799999999997</v>
      </c>
      <c r="R98" s="12">
        <v>0</v>
      </c>
      <c r="S98" s="12">
        <v>474.77</v>
      </c>
      <c r="T98" s="12">
        <v>0</v>
      </c>
      <c r="U98" s="12">
        <v>1.2243934479667509</v>
      </c>
      <c r="V98" s="12">
        <v>0</v>
      </c>
      <c r="W98" s="12">
        <v>0</v>
      </c>
      <c r="X98" s="12">
        <v>0</v>
      </c>
      <c r="Y98" s="12">
        <v>-996</v>
      </c>
      <c r="Z98" s="21">
        <v>12131.787439557555</v>
      </c>
      <c r="AA98" s="21">
        <v>-12131.787439557555</v>
      </c>
      <c r="AB98" s="21">
        <v>-19294.787439557556</v>
      </c>
      <c r="AC98" s="12"/>
      <c r="AD98" s="12"/>
      <c r="AE98" s="12"/>
      <c r="AF98" s="12"/>
      <c r="BH98"/>
      <c r="BI98"/>
    </row>
    <row r="99" spans="1:61" ht="14.25" customHeight="1" x14ac:dyDescent="0.3">
      <c r="A99" s="1" t="s">
        <v>99</v>
      </c>
      <c r="B99" s="2" t="s">
        <v>270</v>
      </c>
      <c r="C99" s="2" t="s">
        <v>177</v>
      </c>
      <c r="D99" s="2" t="s">
        <v>312</v>
      </c>
      <c r="E99" s="2" t="s">
        <v>155</v>
      </c>
      <c r="F99" s="4">
        <v>628</v>
      </c>
      <c r="G99" s="17">
        <v>0</v>
      </c>
      <c r="H99" s="18">
        <v>0</v>
      </c>
      <c r="I99" s="19">
        <v>0</v>
      </c>
      <c r="J99" s="12">
        <v>0</v>
      </c>
      <c r="K99" s="8">
        <v>5210</v>
      </c>
      <c r="L99" s="20">
        <v>61.081404109589037</v>
      </c>
      <c r="M99" s="20">
        <v>245</v>
      </c>
      <c r="N99" s="12">
        <v>107.06</v>
      </c>
      <c r="O99" s="12">
        <v>2540.8704294999998</v>
      </c>
      <c r="P99" s="22" t="s">
        <v>167</v>
      </c>
      <c r="Q99" s="12">
        <v>3260.55</v>
      </c>
      <c r="R99" s="12">
        <v>0</v>
      </c>
      <c r="S99" s="12">
        <v>0</v>
      </c>
      <c r="T99" s="12">
        <v>0</v>
      </c>
      <c r="U99" s="12">
        <v>1.2128061282699047</v>
      </c>
      <c r="V99" s="12">
        <v>0</v>
      </c>
      <c r="W99" s="12">
        <v>0</v>
      </c>
      <c r="X99" s="12">
        <v>0</v>
      </c>
      <c r="Y99" s="12">
        <v>-996</v>
      </c>
      <c r="Z99" s="21">
        <v>12678.774639737858</v>
      </c>
      <c r="AA99" s="21">
        <v>-12678.774639737858</v>
      </c>
      <c r="AB99" s="21">
        <v>-19841.774639737858</v>
      </c>
      <c r="AC99" s="12"/>
      <c r="AD99" s="12"/>
      <c r="AE99" s="12"/>
      <c r="AF99" s="12"/>
      <c r="BH99"/>
      <c r="BI99"/>
    </row>
    <row r="100" spans="1:61" ht="14.25" customHeight="1" x14ac:dyDescent="0.3">
      <c r="A100" s="1" t="s">
        <v>100</v>
      </c>
      <c r="B100" s="2" t="s">
        <v>271</v>
      </c>
      <c r="C100" s="2" t="s">
        <v>179</v>
      </c>
      <c r="D100" s="2" t="s">
        <v>311</v>
      </c>
      <c r="E100" s="2" t="s">
        <v>156</v>
      </c>
      <c r="F100" s="4">
        <v>619</v>
      </c>
      <c r="G100" s="17">
        <v>4861.04</v>
      </c>
      <c r="H100" s="18">
        <v>532.28387999999995</v>
      </c>
      <c r="I100" s="19">
        <v>4328.75612</v>
      </c>
      <c r="J100" s="12">
        <v>18400</v>
      </c>
      <c r="K100" s="8">
        <v>5210</v>
      </c>
      <c r="L100" s="20">
        <v>555.32140410958903</v>
      </c>
      <c r="M100" s="20">
        <v>245</v>
      </c>
      <c r="N100" s="12">
        <v>107.06</v>
      </c>
      <c r="O100" s="12">
        <v>1432.2037210000001</v>
      </c>
      <c r="P100" s="22">
        <v>0.29462907546533257</v>
      </c>
      <c r="Q100" s="12">
        <v>3003.37</v>
      </c>
      <c r="R100" s="12">
        <v>225</v>
      </c>
      <c r="S100" s="12">
        <v>1.82</v>
      </c>
      <c r="T100" s="12">
        <v>225</v>
      </c>
      <c r="U100" s="12">
        <v>1.1954251487246355</v>
      </c>
      <c r="V100" s="12">
        <v>2928</v>
      </c>
      <c r="W100" s="12">
        <v>0</v>
      </c>
      <c r="X100" s="12">
        <v>0</v>
      </c>
      <c r="Y100" s="12">
        <v>-996</v>
      </c>
      <c r="Z100" s="21">
        <v>33586.970550258317</v>
      </c>
      <c r="AA100" s="21">
        <v>-29258.214430258318</v>
      </c>
      <c r="AB100" s="21">
        <v>-36421.214430258318</v>
      </c>
      <c r="AC100" s="12"/>
      <c r="AD100" s="12"/>
      <c r="AE100" s="12"/>
      <c r="AF100" s="12"/>
      <c r="BH100"/>
      <c r="BI100"/>
    </row>
    <row r="101" spans="1:61" ht="14.25" customHeight="1" x14ac:dyDescent="0.3">
      <c r="A101" s="1" t="s">
        <v>101</v>
      </c>
      <c r="B101" s="2" t="s">
        <v>272</v>
      </c>
      <c r="C101" s="2" t="s">
        <v>179</v>
      </c>
      <c r="D101" s="2" t="s">
        <v>311</v>
      </c>
      <c r="E101" s="2" t="s">
        <v>156</v>
      </c>
      <c r="F101" s="4">
        <v>605</v>
      </c>
      <c r="G101" s="17">
        <v>1615.41</v>
      </c>
      <c r="H101" s="18">
        <v>176.887395</v>
      </c>
      <c r="I101" s="19">
        <v>1438.5226050000001</v>
      </c>
      <c r="J101" s="12">
        <v>18400</v>
      </c>
      <c r="K101" s="8">
        <v>5210</v>
      </c>
      <c r="L101" s="20">
        <v>736.12140410958898</v>
      </c>
      <c r="M101" s="20">
        <v>245</v>
      </c>
      <c r="N101" s="12">
        <v>107.06</v>
      </c>
      <c r="O101" s="12">
        <v>2468.2158085000001</v>
      </c>
      <c r="P101" s="22">
        <v>1.5279191093901858</v>
      </c>
      <c r="Q101" s="12">
        <v>0</v>
      </c>
      <c r="R101" s="12">
        <v>650</v>
      </c>
      <c r="S101" s="12">
        <v>39.26</v>
      </c>
      <c r="T101" s="12">
        <v>650</v>
      </c>
      <c r="U101" s="12">
        <v>1.1683880694319941</v>
      </c>
      <c r="V101" s="12">
        <v>3788</v>
      </c>
      <c r="W101" s="12">
        <v>6420</v>
      </c>
      <c r="X101" s="12">
        <v>0</v>
      </c>
      <c r="Y101" s="12">
        <v>-996</v>
      </c>
      <c r="Z101" s="21">
        <v>39967.825600679011</v>
      </c>
      <c r="AA101" s="21">
        <v>-38529.302995679012</v>
      </c>
      <c r="AB101" s="21">
        <v>-45692.302995679012</v>
      </c>
      <c r="AC101" s="12"/>
      <c r="AD101" s="12"/>
      <c r="AE101" s="12"/>
      <c r="AF101" s="12"/>
      <c r="BH101"/>
      <c r="BI101"/>
    </row>
    <row r="102" spans="1:61" ht="14.25" customHeight="1" x14ac:dyDescent="0.3">
      <c r="A102" s="1" t="s">
        <v>102</v>
      </c>
      <c r="B102" s="2" t="s">
        <v>273</v>
      </c>
      <c r="C102" s="2" t="s">
        <v>179</v>
      </c>
      <c r="D102" s="2" t="s">
        <v>311</v>
      </c>
      <c r="E102" s="2" t="s">
        <v>156</v>
      </c>
      <c r="F102" s="4">
        <v>497</v>
      </c>
      <c r="G102" s="17">
        <v>0</v>
      </c>
      <c r="H102" s="18">
        <v>0</v>
      </c>
      <c r="I102" s="19">
        <v>0</v>
      </c>
      <c r="J102" s="12">
        <v>18400</v>
      </c>
      <c r="K102" s="8">
        <v>5210</v>
      </c>
      <c r="L102" s="20">
        <v>1070.741404109589</v>
      </c>
      <c r="M102" s="20">
        <v>245</v>
      </c>
      <c r="N102" s="12">
        <v>107.06</v>
      </c>
      <c r="O102" s="12">
        <v>2127.5357935000002</v>
      </c>
      <c r="P102" s="22" t="s">
        <v>167</v>
      </c>
      <c r="Q102" s="12">
        <v>0</v>
      </c>
      <c r="R102" s="12">
        <v>150</v>
      </c>
      <c r="S102" s="12">
        <v>0</v>
      </c>
      <c r="T102" s="12">
        <v>150</v>
      </c>
      <c r="U102" s="12">
        <v>0.95981631488876218</v>
      </c>
      <c r="V102" s="12">
        <v>1956</v>
      </c>
      <c r="W102" s="12">
        <v>6420</v>
      </c>
      <c r="X102" s="12">
        <v>96.52</v>
      </c>
      <c r="Y102" s="12">
        <v>-996</v>
      </c>
      <c r="Z102" s="21">
        <v>37186.817013924476</v>
      </c>
      <c r="AA102" s="21">
        <v>-37186.817013924476</v>
      </c>
      <c r="AB102" s="21">
        <v>-44349.817013924476</v>
      </c>
      <c r="AC102" s="12"/>
      <c r="AD102" s="12"/>
      <c r="AE102" s="12"/>
      <c r="AF102" s="12"/>
      <c r="BH102"/>
      <c r="BI102"/>
    </row>
    <row r="103" spans="1:61" ht="14.25" customHeight="1" x14ac:dyDescent="0.3">
      <c r="A103" s="1" t="s">
        <v>103</v>
      </c>
      <c r="B103" s="2" t="s">
        <v>274</v>
      </c>
      <c r="C103" s="2" t="s">
        <v>177</v>
      </c>
      <c r="D103" s="2" t="s">
        <v>312</v>
      </c>
      <c r="E103" s="2" t="s">
        <v>154</v>
      </c>
      <c r="F103" s="4">
        <v>473</v>
      </c>
      <c r="G103" s="17">
        <v>0</v>
      </c>
      <c r="H103" s="18">
        <v>0</v>
      </c>
      <c r="I103" s="19">
        <v>0</v>
      </c>
      <c r="J103" s="12">
        <v>0</v>
      </c>
      <c r="K103" s="8">
        <v>5210</v>
      </c>
      <c r="L103" s="20">
        <v>61.081404109589037</v>
      </c>
      <c r="M103" s="20">
        <v>245</v>
      </c>
      <c r="N103" s="12">
        <v>107.06</v>
      </c>
      <c r="O103" s="12" t="s">
        <v>167</v>
      </c>
      <c r="P103" s="22" t="s">
        <v>167</v>
      </c>
      <c r="Q103" s="12">
        <v>0</v>
      </c>
      <c r="R103" s="12">
        <v>0</v>
      </c>
      <c r="S103" s="12">
        <v>0</v>
      </c>
      <c r="T103" s="12">
        <v>0</v>
      </c>
      <c r="U103" s="12">
        <v>7.3625433448446476</v>
      </c>
      <c r="V103" s="12">
        <v>0</v>
      </c>
      <c r="W103" s="12">
        <v>0</v>
      </c>
      <c r="X103" s="12">
        <v>0</v>
      </c>
      <c r="Y103" s="12">
        <v>-996</v>
      </c>
      <c r="Z103" s="21">
        <v>7588.5039474544346</v>
      </c>
      <c r="AA103" s="21">
        <v>-7588.5039474544346</v>
      </c>
      <c r="AB103" s="21">
        <v>-15456.503947454436</v>
      </c>
      <c r="AC103" s="12"/>
      <c r="AD103" s="12"/>
      <c r="AE103" s="12"/>
      <c r="AF103" s="12"/>
      <c r="BH103"/>
      <c r="BI103"/>
    </row>
    <row r="104" spans="1:61" ht="14.25" customHeight="1" x14ac:dyDescent="0.3">
      <c r="A104" s="1" t="s">
        <v>104</v>
      </c>
      <c r="B104" s="2" t="s">
        <v>275</v>
      </c>
      <c r="C104" s="2" t="s">
        <v>179</v>
      </c>
      <c r="D104" s="2" t="s">
        <v>311</v>
      </c>
      <c r="E104" s="2" t="s">
        <v>156</v>
      </c>
      <c r="F104" s="4">
        <v>467</v>
      </c>
      <c r="G104" s="17">
        <v>0</v>
      </c>
      <c r="H104" s="18">
        <v>0</v>
      </c>
      <c r="I104" s="19">
        <v>0</v>
      </c>
      <c r="J104" s="12">
        <v>18400</v>
      </c>
      <c r="K104" s="8">
        <v>5210</v>
      </c>
      <c r="L104" s="20">
        <v>551.95140410958902</v>
      </c>
      <c r="M104" s="20">
        <v>245</v>
      </c>
      <c r="N104" s="12">
        <v>107.06</v>
      </c>
      <c r="O104" s="12">
        <v>622.20180749999997</v>
      </c>
      <c r="P104" s="22" t="s">
        <v>167</v>
      </c>
      <c r="Q104" s="12">
        <v>2875.67</v>
      </c>
      <c r="R104" s="12">
        <v>300</v>
      </c>
      <c r="S104" s="12">
        <v>42.699999999999996</v>
      </c>
      <c r="T104" s="12">
        <v>300</v>
      </c>
      <c r="U104" s="12">
        <v>0.90187971640453102</v>
      </c>
      <c r="V104" s="12">
        <v>2372</v>
      </c>
      <c r="W104" s="12">
        <v>0</v>
      </c>
      <c r="X104" s="12">
        <v>51.68</v>
      </c>
      <c r="Y104" s="12">
        <v>-996</v>
      </c>
      <c r="Z104" s="21">
        <v>32332.165091325998</v>
      </c>
      <c r="AA104" s="21">
        <v>-32332.165091325998</v>
      </c>
      <c r="AB104" s="21">
        <v>-39495.165091325995</v>
      </c>
      <c r="AC104" s="12"/>
      <c r="AD104" s="12"/>
      <c r="AE104" s="12"/>
      <c r="AF104" s="12"/>
      <c r="BH104"/>
      <c r="BI104"/>
    </row>
    <row r="105" spans="1:61" ht="14.25" customHeight="1" x14ac:dyDescent="0.3">
      <c r="A105" s="1" t="s">
        <v>105</v>
      </c>
      <c r="B105" s="2" t="s">
        <v>276</v>
      </c>
      <c r="C105" s="2" t="s">
        <v>180</v>
      </c>
      <c r="D105" s="2" t="s">
        <v>311</v>
      </c>
      <c r="E105" s="2" t="s">
        <v>156</v>
      </c>
      <c r="F105" s="4">
        <v>443</v>
      </c>
      <c r="G105" s="17">
        <v>2710.8700000000003</v>
      </c>
      <c r="H105" s="18">
        <v>296.84026500000004</v>
      </c>
      <c r="I105" s="19">
        <v>2414.0297350000001</v>
      </c>
      <c r="J105" s="12">
        <v>18400</v>
      </c>
      <c r="K105" s="8">
        <v>5210</v>
      </c>
      <c r="L105" s="20">
        <v>555.75140410958909</v>
      </c>
      <c r="M105" s="20">
        <v>245</v>
      </c>
      <c r="N105" s="12">
        <v>107.06</v>
      </c>
      <c r="O105" s="12">
        <v>2096.6882982500001</v>
      </c>
      <c r="P105" s="22">
        <v>0.77343741981356529</v>
      </c>
      <c r="Q105" s="12">
        <v>0</v>
      </c>
      <c r="R105" s="12">
        <v>0</v>
      </c>
      <c r="S105" s="12">
        <v>0</v>
      </c>
      <c r="T105" s="12">
        <v>0</v>
      </c>
      <c r="U105" s="12">
        <v>0.85553043761714609</v>
      </c>
      <c r="V105" s="12">
        <v>0</v>
      </c>
      <c r="W105" s="12">
        <v>0</v>
      </c>
      <c r="X105" s="12">
        <v>48.26</v>
      </c>
      <c r="Y105" s="12">
        <v>-996</v>
      </c>
      <c r="Z105" s="21">
        <v>27916.615232797209</v>
      </c>
      <c r="AA105" s="21">
        <v>-25502.585497797209</v>
      </c>
      <c r="AB105" s="21">
        <v>-32665.585497797209</v>
      </c>
      <c r="AC105" s="12"/>
      <c r="AD105" s="12"/>
      <c r="AE105" s="12"/>
      <c r="AF105" s="12"/>
      <c r="BH105"/>
      <c r="BI105"/>
    </row>
    <row r="106" spans="1:61" ht="14.25" customHeight="1" x14ac:dyDescent="0.3">
      <c r="A106" s="1" t="s">
        <v>106</v>
      </c>
      <c r="B106" s="2" t="s">
        <v>277</v>
      </c>
      <c r="C106" s="2" t="s">
        <v>177</v>
      </c>
      <c r="D106" s="2" t="s">
        <v>312</v>
      </c>
      <c r="E106" s="2" t="s">
        <v>154</v>
      </c>
      <c r="F106" s="4">
        <v>429</v>
      </c>
      <c r="G106" s="17">
        <v>0</v>
      </c>
      <c r="H106" s="18">
        <v>0</v>
      </c>
      <c r="I106" s="19">
        <v>0</v>
      </c>
      <c r="J106" s="12">
        <v>0</v>
      </c>
      <c r="K106" s="8">
        <v>5210</v>
      </c>
      <c r="L106" s="20">
        <v>61.081404109589037</v>
      </c>
      <c r="M106" s="20">
        <v>245</v>
      </c>
      <c r="N106" s="12">
        <v>107.06</v>
      </c>
      <c r="O106" s="12">
        <v>1779.1562912500001</v>
      </c>
      <c r="P106" s="22" t="s">
        <v>167</v>
      </c>
      <c r="Q106" s="12">
        <v>4227.46</v>
      </c>
      <c r="R106" s="12">
        <v>0</v>
      </c>
      <c r="S106" s="12">
        <v>0</v>
      </c>
      <c r="T106" s="12">
        <v>0</v>
      </c>
      <c r="U106" s="12">
        <v>6.6776555918358431</v>
      </c>
      <c r="V106" s="12">
        <v>0</v>
      </c>
      <c r="W106" s="12">
        <v>0</v>
      </c>
      <c r="X106" s="12">
        <v>0</v>
      </c>
      <c r="Y106" s="12">
        <v>-996</v>
      </c>
      <c r="Z106" s="21">
        <v>13594.435350951424</v>
      </c>
      <c r="AA106" s="21">
        <v>-13594.435350951424</v>
      </c>
      <c r="AB106" s="21">
        <v>-21462.435350951426</v>
      </c>
      <c r="AC106" s="12"/>
      <c r="AD106" s="12"/>
      <c r="AE106" s="12"/>
      <c r="AF106" s="12"/>
      <c r="BH106"/>
      <c r="BI106"/>
    </row>
    <row r="107" spans="1:61" ht="14.25" customHeight="1" x14ac:dyDescent="0.3">
      <c r="A107" s="1" t="s">
        <v>107</v>
      </c>
      <c r="B107" s="2" t="s">
        <v>278</v>
      </c>
      <c r="C107" s="2" t="s">
        <v>177</v>
      </c>
      <c r="D107" s="2" t="s">
        <v>312</v>
      </c>
      <c r="E107" s="2" t="s">
        <v>154</v>
      </c>
      <c r="F107" s="4">
        <v>389</v>
      </c>
      <c r="G107" s="17">
        <v>0</v>
      </c>
      <c r="H107" s="18">
        <v>0</v>
      </c>
      <c r="I107" s="19">
        <v>0</v>
      </c>
      <c r="J107" s="12">
        <v>0</v>
      </c>
      <c r="K107" s="8">
        <v>5210</v>
      </c>
      <c r="L107" s="20">
        <v>61.081404109589037</v>
      </c>
      <c r="M107" s="20">
        <v>245</v>
      </c>
      <c r="N107" s="12">
        <v>107.06</v>
      </c>
      <c r="O107" s="12">
        <v>1869.320557</v>
      </c>
      <c r="P107" s="22" t="s">
        <v>167</v>
      </c>
      <c r="Q107" s="12">
        <v>3025.42</v>
      </c>
      <c r="R107" s="12">
        <v>225</v>
      </c>
      <c r="S107" s="12">
        <v>0</v>
      </c>
      <c r="T107" s="12">
        <v>225</v>
      </c>
      <c r="U107" s="12">
        <v>6.0550303618278392</v>
      </c>
      <c r="V107" s="12">
        <v>0</v>
      </c>
      <c r="W107" s="12">
        <v>0</v>
      </c>
      <c r="X107" s="12">
        <v>0</v>
      </c>
      <c r="Y107" s="12">
        <v>-996</v>
      </c>
      <c r="Z107" s="21">
        <v>12931.936991471415</v>
      </c>
      <c r="AA107" s="21">
        <v>-12931.936991471415</v>
      </c>
      <c r="AB107" s="21">
        <v>-20799.936991471415</v>
      </c>
      <c r="AC107" s="12"/>
      <c r="AD107" s="12"/>
      <c r="AE107" s="12"/>
      <c r="AF107" s="12"/>
      <c r="BH107"/>
      <c r="BI107"/>
    </row>
    <row r="108" spans="1:61" ht="14.25" customHeight="1" x14ac:dyDescent="0.3">
      <c r="A108" s="1" t="s">
        <v>108</v>
      </c>
      <c r="B108" s="2" t="s">
        <v>279</v>
      </c>
      <c r="C108" s="2" t="s">
        <v>177</v>
      </c>
      <c r="D108" s="2" t="s">
        <v>312</v>
      </c>
      <c r="E108" s="2" t="s">
        <v>154</v>
      </c>
      <c r="F108" s="4">
        <v>320</v>
      </c>
      <c r="G108" s="17">
        <v>0</v>
      </c>
      <c r="H108" s="18">
        <v>0</v>
      </c>
      <c r="I108" s="19">
        <v>0</v>
      </c>
      <c r="J108" s="12">
        <v>0</v>
      </c>
      <c r="K108" s="8">
        <v>5210</v>
      </c>
      <c r="L108" s="20">
        <v>61.081404109589037</v>
      </c>
      <c r="M108" s="20">
        <v>245</v>
      </c>
      <c r="N108" s="12">
        <v>107.06</v>
      </c>
      <c r="O108" s="12">
        <v>1863.1669127499999</v>
      </c>
      <c r="P108" s="22" t="s">
        <v>167</v>
      </c>
      <c r="Q108" s="12">
        <v>3601.8900000000003</v>
      </c>
      <c r="R108" s="12">
        <v>450</v>
      </c>
      <c r="S108" s="12">
        <v>1667.24</v>
      </c>
      <c r="T108" s="12">
        <v>450</v>
      </c>
      <c r="U108" s="12">
        <v>4.9810018400640317</v>
      </c>
      <c r="V108" s="12">
        <v>2372</v>
      </c>
      <c r="W108" s="12">
        <v>0</v>
      </c>
      <c r="X108" s="12">
        <v>0</v>
      </c>
      <c r="Y108" s="12">
        <v>-996</v>
      </c>
      <c r="Z108" s="21">
        <v>17990.419318699653</v>
      </c>
      <c r="AA108" s="21">
        <v>-17990.419318699653</v>
      </c>
      <c r="AB108" s="21">
        <v>-25858.419318699653</v>
      </c>
      <c r="AC108" s="12"/>
      <c r="AD108" s="12"/>
      <c r="AE108" s="12"/>
      <c r="AF108" s="12"/>
      <c r="BH108"/>
      <c r="BI108"/>
    </row>
    <row r="109" spans="1:61" ht="14.25" customHeight="1" x14ac:dyDescent="0.3">
      <c r="A109" s="1" t="s">
        <v>109</v>
      </c>
      <c r="B109" s="2" t="s">
        <v>280</v>
      </c>
      <c r="C109" s="2" t="s">
        <v>177</v>
      </c>
      <c r="D109" s="2" t="s">
        <v>312</v>
      </c>
      <c r="E109" s="2" t="s">
        <v>154</v>
      </c>
      <c r="F109" s="4">
        <v>312</v>
      </c>
      <c r="G109" s="17">
        <v>2269.59</v>
      </c>
      <c r="H109" s="18">
        <v>248.52010500000003</v>
      </c>
      <c r="I109" s="19">
        <v>2021.0698950000001</v>
      </c>
      <c r="J109" s="12">
        <v>0</v>
      </c>
      <c r="K109" s="8">
        <v>5210</v>
      </c>
      <c r="L109" s="20">
        <v>61.081404109589037</v>
      </c>
      <c r="M109" s="20">
        <v>245</v>
      </c>
      <c r="N109" s="12">
        <v>107.06</v>
      </c>
      <c r="O109" s="12" t="s">
        <v>167</v>
      </c>
      <c r="P109" s="22" t="s">
        <v>167</v>
      </c>
      <c r="Q109" s="12">
        <v>2095.88</v>
      </c>
      <c r="R109" s="12">
        <v>225</v>
      </c>
      <c r="S109" s="12">
        <v>0</v>
      </c>
      <c r="T109" s="12">
        <v>225</v>
      </c>
      <c r="U109" s="12">
        <v>4.8564767940624316</v>
      </c>
      <c r="V109" s="12">
        <v>3365.68</v>
      </c>
      <c r="W109" s="12">
        <v>0</v>
      </c>
      <c r="X109" s="12">
        <v>0</v>
      </c>
      <c r="Y109" s="12">
        <v>-996</v>
      </c>
      <c r="Z109" s="21">
        <v>13497.557880903651</v>
      </c>
      <c r="AA109" s="21">
        <v>-11476.48798590365</v>
      </c>
      <c r="AB109" s="21">
        <v>-19344.487985903652</v>
      </c>
      <c r="AC109" s="12"/>
      <c r="AD109" s="12"/>
      <c r="AE109" s="12"/>
      <c r="AF109" s="12"/>
      <c r="BH109"/>
      <c r="BI109"/>
    </row>
    <row r="110" spans="1:61" ht="14.25" customHeight="1" x14ac:dyDescent="0.3">
      <c r="A110" s="1" t="s">
        <v>110</v>
      </c>
      <c r="B110" s="2" t="s">
        <v>281</v>
      </c>
      <c r="C110" s="2" t="s">
        <v>177</v>
      </c>
      <c r="D110" s="2" t="s">
        <v>312</v>
      </c>
      <c r="E110" s="2" t="s">
        <v>154</v>
      </c>
      <c r="F110" s="4">
        <v>299</v>
      </c>
      <c r="G110" s="17">
        <v>0</v>
      </c>
      <c r="H110" s="18">
        <v>0</v>
      </c>
      <c r="I110" s="19">
        <v>0</v>
      </c>
      <c r="J110" s="12">
        <v>0</v>
      </c>
      <c r="K110" s="8">
        <v>5210</v>
      </c>
      <c r="L110" s="20">
        <v>61.081404109589037</v>
      </c>
      <c r="M110" s="20">
        <v>245</v>
      </c>
      <c r="N110" s="12">
        <v>107.06</v>
      </c>
      <c r="O110" s="12">
        <v>2577.3364695</v>
      </c>
      <c r="P110" s="22" t="s">
        <v>167</v>
      </c>
      <c r="Q110" s="12">
        <v>2825.2400000000002</v>
      </c>
      <c r="R110" s="12">
        <v>0</v>
      </c>
      <c r="S110" s="12">
        <v>19.63</v>
      </c>
      <c r="T110" s="12">
        <v>0</v>
      </c>
      <c r="U110" s="12">
        <v>4.65412359430983</v>
      </c>
      <c r="V110" s="12">
        <v>2372</v>
      </c>
      <c r="W110" s="12">
        <v>0</v>
      </c>
      <c r="X110" s="12">
        <v>0</v>
      </c>
      <c r="Y110" s="12">
        <v>-996</v>
      </c>
      <c r="Z110" s="21">
        <v>15380.001997203899</v>
      </c>
      <c r="AA110" s="21">
        <v>-15380.001997203899</v>
      </c>
      <c r="AB110" s="21">
        <v>-23248.001997203901</v>
      </c>
      <c r="AC110" s="12"/>
      <c r="AD110" s="12"/>
      <c r="AE110" s="12"/>
      <c r="AF110" s="12"/>
      <c r="BH110"/>
      <c r="BI110"/>
    </row>
    <row r="111" spans="1:61" ht="14.25" customHeight="1" x14ac:dyDescent="0.3">
      <c r="A111" s="1" t="s">
        <v>111</v>
      </c>
      <c r="B111" s="2" t="s">
        <v>282</v>
      </c>
      <c r="C111" s="2" t="s">
        <v>177</v>
      </c>
      <c r="D111" s="2" t="s">
        <v>312</v>
      </c>
      <c r="E111" s="2" t="s">
        <v>155</v>
      </c>
      <c r="F111" s="4">
        <v>148</v>
      </c>
      <c r="G111" s="17">
        <v>0</v>
      </c>
      <c r="H111" s="18">
        <v>0</v>
      </c>
      <c r="I111" s="19">
        <v>0</v>
      </c>
      <c r="J111" s="12">
        <v>0</v>
      </c>
      <c r="K111" s="8">
        <v>5210</v>
      </c>
      <c r="L111" s="20">
        <v>61.081404109589037</v>
      </c>
      <c r="M111" s="20">
        <v>245</v>
      </c>
      <c r="N111" s="12">
        <v>107.06</v>
      </c>
      <c r="O111" s="12" t="s">
        <v>167</v>
      </c>
      <c r="P111" s="22" t="s">
        <v>167</v>
      </c>
      <c r="Q111" s="12">
        <v>1628.6499999999999</v>
      </c>
      <c r="R111" s="12">
        <v>225</v>
      </c>
      <c r="S111" s="12">
        <v>0</v>
      </c>
      <c r="T111" s="12">
        <v>225</v>
      </c>
      <c r="U111" s="12">
        <v>0.28582055252220684</v>
      </c>
      <c r="V111" s="12">
        <v>0</v>
      </c>
      <c r="W111" s="12">
        <v>0</v>
      </c>
      <c r="X111" s="12">
        <v>0</v>
      </c>
      <c r="Y111" s="12">
        <v>-996</v>
      </c>
      <c r="Z111" s="21">
        <v>8955.0772246621109</v>
      </c>
      <c r="AA111" s="21">
        <v>-8955.0772246621109</v>
      </c>
      <c r="AB111" s="21">
        <v>-16118.077224662111</v>
      </c>
      <c r="AC111" s="12"/>
      <c r="AD111" s="12"/>
      <c r="AE111" s="12"/>
      <c r="AF111" s="12"/>
      <c r="BH111"/>
      <c r="BI111"/>
    </row>
    <row r="112" spans="1:61" ht="14.25" customHeight="1" x14ac:dyDescent="0.3">
      <c r="A112" s="1" t="s">
        <v>112</v>
      </c>
      <c r="B112" s="2" t="s">
        <v>283</v>
      </c>
      <c r="C112" s="2" t="s">
        <v>177</v>
      </c>
      <c r="D112" s="2" t="s">
        <v>312</v>
      </c>
      <c r="E112" s="2" t="s">
        <v>154</v>
      </c>
      <c r="F112" s="4">
        <v>116</v>
      </c>
      <c r="G112" s="17">
        <v>0</v>
      </c>
      <c r="H112" s="18">
        <v>0</v>
      </c>
      <c r="I112" s="19">
        <v>0</v>
      </c>
      <c r="J112" s="12">
        <v>0</v>
      </c>
      <c r="K112" s="8">
        <v>5210</v>
      </c>
      <c r="L112" s="20">
        <v>61.081404109589037</v>
      </c>
      <c r="M112" s="20">
        <v>245</v>
      </c>
      <c r="N112" s="12">
        <v>107.06</v>
      </c>
      <c r="O112" s="12" t="s">
        <v>167</v>
      </c>
      <c r="P112" s="22" t="s">
        <v>167</v>
      </c>
      <c r="Q112" s="12">
        <v>3175.8</v>
      </c>
      <c r="R112" s="12">
        <v>0</v>
      </c>
      <c r="S112" s="12">
        <v>1647.63</v>
      </c>
      <c r="T112" s="12">
        <v>0</v>
      </c>
      <c r="U112" s="12">
        <v>1.8056131670232116</v>
      </c>
      <c r="V112" s="12">
        <v>3365.68</v>
      </c>
      <c r="W112" s="12">
        <v>0</v>
      </c>
      <c r="X112" s="12">
        <v>0</v>
      </c>
      <c r="Y112" s="12">
        <v>-996</v>
      </c>
      <c r="Z112" s="21">
        <v>15772.057017276611</v>
      </c>
      <c r="AA112" s="21">
        <v>-15772.057017276611</v>
      </c>
      <c r="AB112" s="21">
        <v>-23640.057017276609</v>
      </c>
      <c r="AC112" s="12"/>
      <c r="AD112" s="12"/>
      <c r="AE112" s="12"/>
      <c r="AF112" s="12"/>
      <c r="BH112"/>
      <c r="BI112"/>
    </row>
    <row r="113" spans="1:61" ht="14.25" customHeight="1" x14ac:dyDescent="0.3">
      <c r="A113" s="1" t="s">
        <v>113</v>
      </c>
      <c r="B113" s="2" t="s">
        <v>284</v>
      </c>
      <c r="C113" s="2" t="s">
        <v>177</v>
      </c>
      <c r="D113" s="2" t="s">
        <v>312</v>
      </c>
      <c r="E113" s="2" t="s">
        <v>154</v>
      </c>
      <c r="F113" s="4">
        <v>115</v>
      </c>
      <c r="G113" s="17">
        <v>0</v>
      </c>
      <c r="H113" s="18">
        <v>0</v>
      </c>
      <c r="I113" s="19">
        <v>0</v>
      </c>
      <c r="J113" s="12">
        <v>0</v>
      </c>
      <c r="K113" s="8">
        <v>5210</v>
      </c>
      <c r="L113" s="20">
        <v>61.081404109589037</v>
      </c>
      <c r="M113" s="20">
        <v>245</v>
      </c>
      <c r="N113" s="12">
        <v>107.06</v>
      </c>
      <c r="O113" s="12" t="s">
        <v>167</v>
      </c>
      <c r="P113" s="22" t="s">
        <v>167</v>
      </c>
      <c r="Q113" s="12">
        <v>2555.29</v>
      </c>
      <c r="R113" s="12">
        <v>450</v>
      </c>
      <c r="S113" s="12">
        <v>0</v>
      </c>
      <c r="T113" s="12">
        <v>450</v>
      </c>
      <c r="U113" s="12">
        <v>1.7900475362730115</v>
      </c>
      <c r="V113" s="12">
        <v>2590</v>
      </c>
      <c r="W113" s="12">
        <v>0</v>
      </c>
      <c r="X113" s="12">
        <v>0</v>
      </c>
      <c r="Y113" s="12">
        <v>-996</v>
      </c>
      <c r="Z113" s="21">
        <v>13628.221451645863</v>
      </c>
      <c r="AA113" s="21">
        <v>-13628.221451645863</v>
      </c>
      <c r="AB113" s="21">
        <v>-21496.221451645863</v>
      </c>
      <c r="AC113" s="12"/>
      <c r="AD113" s="12"/>
      <c r="AE113" s="12"/>
      <c r="AF113" s="12"/>
      <c r="BH113"/>
      <c r="BI113"/>
    </row>
    <row r="114" spans="1:61" ht="14.25" customHeight="1" x14ac:dyDescent="0.3">
      <c r="A114" s="1" t="s">
        <v>114</v>
      </c>
      <c r="B114" s="2" t="s">
        <v>285</v>
      </c>
      <c r="C114" s="2" t="s">
        <v>177</v>
      </c>
      <c r="D114" s="2" t="s">
        <v>312</v>
      </c>
      <c r="E114" s="2" t="s">
        <v>154</v>
      </c>
      <c r="F114" s="4">
        <v>112</v>
      </c>
      <c r="G114" s="17">
        <v>0</v>
      </c>
      <c r="H114" s="18">
        <v>0</v>
      </c>
      <c r="I114" s="19">
        <v>0</v>
      </c>
      <c r="J114" s="12">
        <v>0</v>
      </c>
      <c r="K114" s="8">
        <v>5210</v>
      </c>
      <c r="L114" s="20">
        <v>61.081404109589037</v>
      </c>
      <c r="M114" s="20">
        <v>245</v>
      </c>
      <c r="N114" s="12">
        <v>107.06</v>
      </c>
      <c r="O114" s="12" t="s">
        <v>167</v>
      </c>
      <c r="P114" s="22" t="s">
        <v>167</v>
      </c>
      <c r="Q114" s="12">
        <v>3526.9</v>
      </c>
      <c r="R114" s="12">
        <v>0</v>
      </c>
      <c r="S114" s="12">
        <v>0</v>
      </c>
      <c r="T114" s="12">
        <v>0</v>
      </c>
      <c r="U114" s="12">
        <v>1.7433506440224114</v>
      </c>
      <c r="V114" s="12">
        <v>6299.8</v>
      </c>
      <c r="W114" s="12">
        <v>0</v>
      </c>
      <c r="X114" s="12">
        <v>0</v>
      </c>
      <c r="Y114" s="12">
        <v>-996</v>
      </c>
      <c r="Z114" s="21">
        <v>17409.58475475361</v>
      </c>
      <c r="AA114" s="21">
        <v>-17409.58475475361</v>
      </c>
      <c r="AB114" s="21">
        <v>-25277.58475475361</v>
      </c>
      <c r="AC114" s="12"/>
      <c r="AD114" s="12"/>
      <c r="AE114" s="12"/>
      <c r="AF114" s="12"/>
      <c r="BH114"/>
      <c r="BI114"/>
    </row>
    <row r="115" spans="1:61" ht="14.25" customHeight="1" x14ac:dyDescent="0.3">
      <c r="A115" s="1" t="s">
        <v>115</v>
      </c>
      <c r="B115" s="2" t="s">
        <v>286</v>
      </c>
      <c r="C115" s="2" t="s">
        <v>177</v>
      </c>
      <c r="D115" s="2" t="s">
        <v>312</v>
      </c>
      <c r="E115" s="2" t="s">
        <v>155</v>
      </c>
      <c r="F115" s="4">
        <v>107</v>
      </c>
      <c r="G115" s="17">
        <v>0</v>
      </c>
      <c r="H115" s="18">
        <v>0</v>
      </c>
      <c r="I115" s="19">
        <v>0</v>
      </c>
      <c r="J115" s="12">
        <v>0</v>
      </c>
      <c r="K115" s="8">
        <v>5210</v>
      </c>
      <c r="L115" s="20">
        <v>61.081404109589037</v>
      </c>
      <c r="M115" s="20">
        <v>245</v>
      </c>
      <c r="N115" s="12">
        <v>107.06</v>
      </c>
      <c r="O115" s="12" t="s">
        <v>167</v>
      </c>
      <c r="P115" s="22" t="s">
        <v>167</v>
      </c>
      <c r="Q115" s="12">
        <v>3768.33</v>
      </c>
      <c r="R115" s="12">
        <v>225</v>
      </c>
      <c r="S115" s="12">
        <v>0.91</v>
      </c>
      <c r="T115" s="12">
        <v>225</v>
      </c>
      <c r="U115" s="12">
        <v>0.20664053459375764</v>
      </c>
      <c r="V115" s="12">
        <v>2858</v>
      </c>
      <c r="W115" s="12">
        <v>0</v>
      </c>
      <c r="X115" s="12">
        <v>0</v>
      </c>
      <c r="Y115" s="12">
        <v>-996</v>
      </c>
      <c r="Z115" s="21">
        <v>13953.588044644182</v>
      </c>
      <c r="AA115" s="21">
        <v>-13953.588044644182</v>
      </c>
      <c r="AB115" s="21">
        <v>-21116.588044644181</v>
      </c>
      <c r="AC115" s="12"/>
      <c r="AD115" s="12"/>
      <c r="AE115" s="12"/>
      <c r="AF115" s="12"/>
      <c r="BH115"/>
      <c r="BI115"/>
    </row>
    <row r="116" spans="1:61" ht="14.25" customHeight="1" x14ac:dyDescent="0.3">
      <c r="A116" s="1" t="s">
        <v>116</v>
      </c>
      <c r="B116" s="2" t="s">
        <v>287</v>
      </c>
      <c r="C116" s="2" t="s">
        <v>177</v>
      </c>
      <c r="D116" s="2" t="s">
        <v>312</v>
      </c>
      <c r="E116" s="2" t="s">
        <v>155</v>
      </c>
      <c r="F116" s="4">
        <v>50</v>
      </c>
      <c r="G116" s="17">
        <v>0</v>
      </c>
      <c r="H116" s="18">
        <v>0</v>
      </c>
      <c r="I116" s="19">
        <v>0</v>
      </c>
      <c r="J116" s="12">
        <v>0</v>
      </c>
      <c r="K116" s="8">
        <v>5210</v>
      </c>
      <c r="L116" s="20">
        <v>61.081404109589037</v>
      </c>
      <c r="M116" s="20">
        <v>245</v>
      </c>
      <c r="N116" s="12">
        <v>107.06</v>
      </c>
      <c r="O116" s="12" t="s">
        <v>167</v>
      </c>
      <c r="P116" s="22" t="s">
        <v>167</v>
      </c>
      <c r="Q116" s="12">
        <v>2207.2599999999998</v>
      </c>
      <c r="R116" s="12">
        <v>225</v>
      </c>
      <c r="S116" s="12">
        <v>39.26</v>
      </c>
      <c r="T116" s="12">
        <v>225</v>
      </c>
      <c r="U116" s="12">
        <v>9.6560997473718532E-2</v>
      </c>
      <c r="V116" s="12">
        <v>3344</v>
      </c>
      <c r="W116" s="12">
        <v>0</v>
      </c>
      <c r="X116" s="12">
        <v>0</v>
      </c>
      <c r="Y116" s="12">
        <v>-996</v>
      </c>
      <c r="Z116" s="21">
        <v>12916.757965107063</v>
      </c>
      <c r="AA116" s="21">
        <v>-12916.757965107063</v>
      </c>
      <c r="AB116" s="21">
        <v>-20079.757965107063</v>
      </c>
      <c r="AC116" s="12"/>
      <c r="AD116" s="12"/>
      <c r="AE116" s="12"/>
      <c r="AF116" s="12"/>
      <c r="BH116"/>
      <c r="BI116"/>
    </row>
    <row r="117" spans="1:61" ht="14.25" customHeight="1" x14ac:dyDescent="0.3">
      <c r="A117" s="1" t="s">
        <v>117</v>
      </c>
      <c r="B117" s="2" t="s">
        <v>288</v>
      </c>
      <c r="C117" s="2" t="s">
        <v>177</v>
      </c>
      <c r="D117" s="2" t="s">
        <v>312</v>
      </c>
      <c r="E117" s="2" t="s">
        <v>154</v>
      </c>
      <c r="F117" s="4">
        <v>1</v>
      </c>
      <c r="G117" s="17">
        <v>0</v>
      </c>
      <c r="H117" s="18">
        <v>0</v>
      </c>
      <c r="I117" s="19">
        <v>0</v>
      </c>
      <c r="J117" s="12">
        <v>0</v>
      </c>
      <c r="K117" s="8">
        <v>5210</v>
      </c>
      <c r="L117" s="20">
        <v>61.081404109589037</v>
      </c>
      <c r="M117" s="20">
        <v>245</v>
      </c>
      <c r="N117" s="12">
        <v>107.06</v>
      </c>
      <c r="O117" s="12" t="s">
        <v>167</v>
      </c>
      <c r="P117" s="22" t="s">
        <v>167</v>
      </c>
      <c r="Q117" s="12">
        <v>2095.88</v>
      </c>
      <c r="R117" s="12">
        <v>225</v>
      </c>
      <c r="S117" s="12">
        <v>0</v>
      </c>
      <c r="T117" s="12">
        <v>225</v>
      </c>
      <c r="U117" s="12">
        <v>1.55656307502001E-2</v>
      </c>
      <c r="V117" s="12">
        <v>0</v>
      </c>
      <c r="W117" s="12">
        <v>0</v>
      </c>
      <c r="X117" s="12">
        <v>0</v>
      </c>
      <c r="Y117" s="12">
        <v>-996</v>
      </c>
      <c r="Z117" s="21">
        <v>10127.036969740338</v>
      </c>
      <c r="AA117" s="21">
        <v>-10127.036969740338</v>
      </c>
      <c r="AB117" s="21">
        <v>-17995.036969740337</v>
      </c>
      <c r="AC117" s="12"/>
      <c r="AD117" s="12"/>
      <c r="AE117" s="12"/>
      <c r="AF117" s="12"/>
      <c r="BH117"/>
      <c r="BI117"/>
    </row>
    <row r="118" spans="1:61" ht="14.25" customHeight="1" x14ac:dyDescent="0.3">
      <c r="A118" s="1" t="s">
        <v>118</v>
      </c>
      <c r="B118" s="2" t="s">
        <v>289</v>
      </c>
      <c r="C118" s="2" t="s">
        <v>177</v>
      </c>
      <c r="D118" s="2" t="s">
        <v>312</v>
      </c>
      <c r="E118" s="2" t="s">
        <v>154</v>
      </c>
      <c r="F118" s="4">
        <v>1</v>
      </c>
      <c r="G118" s="17">
        <v>0</v>
      </c>
      <c r="H118" s="18">
        <v>0</v>
      </c>
      <c r="I118" s="19">
        <v>0</v>
      </c>
      <c r="J118" s="12">
        <v>0</v>
      </c>
      <c r="K118" s="8">
        <v>5210</v>
      </c>
      <c r="L118" s="20">
        <v>61.081404109589037</v>
      </c>
      <c r="M118" s="20">
        <v>245</v>
      </c>
      <c r="N118" s="12">
        <v>107.06</v>
      </c>
      <c r="O118" s="12" t="s">
        <v>167</v>
      </c>
      <c r="P118" s="22" t="s">
        <v>167</v>
      </c>
      <c r="Q118" s="12">
        <v>4707.9799999999996</v>
      </c>
      <c r="R118" s="12">
        <v>0</v>
      </c>
      <c r="S118" s="12">
        <v>21.45</v>
      </c>
      <c r="T118" s="12">
        <v>0</v>
      </c>
      <c r="U118" s="12">
        <v>1.55656307502001E-2</v>
      </c>
      <c r="V118" s="12">
        <v>0</v>
      </c>
      <c r="W118" s="12">
        <v>0</v>
      </c>
      <c r="X118" s="12">
        <v>0</v>
      </c>
      <c r="Y118" s="12">
        <v>-996</v>
      </c>
      <c r="Z118" s="21">
        <v>12310.58696974034</v>
      </c>
      <c r="AA118" s="21">
        <v>-12310.58696974034</v>
      </c>
      <c r="AB118" s="21">
        <v>-20178.58696974034</v>
      </c>
      <c r="AC118" s="12"/>
      <c r="AD118" s="12"/>
      <c r="AE118" s="12"/>
      <c r="AF118" s="12"/>
      <c r="BH118"/>
      <c r="BI118"/>
    </row>
    <row r="119" spans="1:61" ht="14.25" customHeight="1" x14ac:dyDescent="0.3">
      <c r="A119" s="1" t="s">
        <v>119</v>
      </c>
      <c r="B119" s="2" t="s">
        <v>290</v>
      </c>
      <c r="C119" s="2" t="s">
        <v>178</v>
      </c>
      <c r="D119" s="2" t="s">
        <v>311</v>
      </c>
      <c r="E119" s="2" t="s">
        <v>156</v>
      </c>
      <c r="F119" s="4">
        <v>0</v>
      </c>
      <c r="G119" s="17">
        <v>0</v>
      </c>
      <c r="H119" s="18">
        <v>0</v>
      </c>
      <c r="I119" s="19">
        <v>0</v>
      </c>
      <c r="J119" s="12">
        <v>9200</v>
      </c>
      <c r="K119" s="8">
        <v>5210</v>
      </c>
      <c r="L119" s="20">
        <v>555.851404109589</v>
      </c>
      <c r="M119" s="20">
        <v>245</v>
      </c>
      <c r="N119" s="12">
        <v>107.06</v>
      </c>
      <c r="O119" s="12" t="s">
        <v>167</v>
      </c>
      <c r="P119" s="22" t="s">
        <v>167</v>
      </c>
      <c r="Q119" s="12">
        <v>6094.74</v>
      </c>
      <c r="R119" s="12">
        <v>325</v>
      </c>
      <c r="S119" s="12">
        <v>0</v>
      </c>
      <c r="T119" s="12">
        <v>325</v>
      </c>
      <c r="U119" s="12">
        <v>0</v>
      </c>
      <c r="V119" s="12">
        <v>1894</v>
      </c>
      <c r="W119" s="12">
        <v>3411</v>
      </c>
      <c r="X119" s="12">
        <v>0</v>
      </c>
      <c r="Y119" s="12">
        <v>-996</v>
      </c>
      <c r="Z119" s="21">
        <v>28620.651404109587</v>
      </c>
      <c r="AA119" s="21">
        <v>-28620.651404109587</v>
      </c>
      <c r="AB119" s="21">
        <v>-35783.651404109587</v>
      </c>
      <c r="AC119" s="12"/>
      <c r="AD119" s="12"/>
      <c r="AE119" s="12"/>
      <c r="AF119" s="12"/>
      <c r="BH119"/>
      <c r="BI119"/>
    </row>
    <row r="120" spans="1:61" ht="14.25" customHeight="1" x14ac:dyDescent="0.3">
      <c r="A120" s="1" t="s">
        <v>120</v>
      </c>
      <c r="B120" s="2" t="s">
        <v>291</v>
      </c>
      <c r="C120" s="2" t="s">
        <v>178</v>
      </c>
      <c r="D120" s="2" t="s">
        <v>311</v>
      </c>
      <c r="E120" s="2" t="s">
        <v>156</v>
      </c>
      <c r="F120" s="4">
        <v>0</v>
      </c>
      <c r="G120" s="17">
        <v>0</v>
      </c>
      <c r="H120" s="18">
        <v>0</v>
      </c>
      <c r="I120" s="19">
        <v>0</v>
      </c>
      <c r="J120" s="12">
        <v>9200</v>
      </c>
      <c r="K120" s="8">
        <v>5210</v>
      </c>
      <c r="L120" s="20">
        <v>494.43</v>
      </c>
      <c r="M120" s="20">
        <v>245</v>
      </c>
      <c r="N120" s="12">
        <v>107.06</v>
      </c>
      <c r="O120" s="12" t="s">
        <v>167</v>
      </c>
      <c r="P120" s="22" t="s">
        <v>167</v>
      </c>
      <c r="Q120" s="12">
        <v>0</v>
      </c>
      <c r="R120" s="12">
        <v>0</v>
      </c>
      <c r="S120" s="12">
        <v>0</v>
      </c>
      <c r="T120" s="12">
        <v>0</v>
      </c>
      <c r="U120" s="12">
        <v>0</v>
      </c>
      <c r="V120" s="12">
        <v>0</v>
      </c>
      <c r="W120" s="12">
        <v>3411</v>
      </c>
      <c r="X120" s="12">
        <v>0</v>
      </c>
      <c r="Y120" s="12">
        <v>-996</v>
      </c>
      <c r="Z120" s="21">
        <v>19920.490000000002</v>
      </c>
      <c r="AA120" s="21">
        <v>-19920.490000000002</v>
      </c>
      <c r="AB120" s="21">
        <v>-27083.49</v>
      </c>
      <c r="AC120" s="12"/>
      <c r="AD120" s="12"/>
      <c r="AE120" s="12"/>
      <c r="AF120" s="12"/>
      <c r="BH120"/>
      <c r="BI120"/>
    </row>
    <row r="121" spans="1:61" ht="14.25" customHeight="1" x14ac:dyDescent="0.3">
      <c r="A121" s="1" t="s">
        <v>121</v>
      </c>
      <c r="B121" s="2" t="s">
        <v>292</v>
      </c>
      <c r="C121" s="2" t="s">
        <v>179</v>
      </c>
      <c r="D121" s="2" t="s">
        <v>311</v>
      </c>
      <c r="E121" s="2" t="s">
        <v>154</v>
      </c>
      <c r="F121" s="4">
        <v>0</v>
      </c>
      <c r="G121" s="17">
        <v>0</v>
      </c>
      <c r="H121" s="18">
        <v>0</v>
      </c>
      <c r="I121" s="19">
        <v>0</v>
      </c>
      <c r="J121" s="12">
        <v>18400</v>
      </c>
      <c r="K121" s="8">
        <v>5210</v>
      </c>
      <c r="L121" s="20">
        <v>539.68140410958904</v>
      </c>
      <c r="M121" s="20">
        <v>245</v>
      </c>
      <c r="N121" s="12">
        <v>107.06</v>
      </c>
      <c r="O121" s="12" t="s">
        <v>167</v>
      </c>
      <c r="P121" s="22" t="s">
        <v>167</v>
      </c>
      <c r="Q121" s="12">
        <v>0</v>
      </c>
      <c r="R121" s="12">
        <v>450</v>
      </c>
      <c r="S121" s="12">
        <v>0</v>
      </c>
      <c r="T121" s="12">
        <v>450</v>
      </c>
      <c r="U121" s="12">
        <v>0</v>
      </c>
      <c r="V121" s="12">
        <v>0</v>
      </c>
      <c r="W121" s="12">
        <v>6420</v>
      </c>
      <c r="X121" s="12">
        <v>0</v>
      </c>
      <c r="Y121" s="12">
        <v>-996</v>
      </c>
      <c r="Z121" s="21">
        <v>33779.741404109584</v>
      </c>
      <c r="AA121" s="21">
        <v>-33779.741404109584</v>
      </c>
      <c r="AB121" s="21">
        <v>-41647.741404109584</v>
      </c>
      <c r="AC121" s="12"/>
      <c r="AD121" s="12"/>
      <c r="AE121" s="12"/>
      <c r="AF121" s="12"/>
      <c r="BH121"/>
      <c r="BI121"/>
    </row>
    <row r="122" spans="1:61" ht="14.25" customHeight="1" x14ac:dyDescent="0.3">
      <c r="A122" s="1" t="s">
        <v>122</v>
      </c>
      <c r="B122" s="2" t="s">
        <v>293</v>
      </c>
      <c r="C122" s="2" t="s">
        <v>179</v>
      </c>
      <c r="D122" s="2" t="s">
        <v>311</v>
      </c>
      <c r="E122" s="2" t="s">
        <v>154</v>
      </c>
      <c r="F122" s="4">
        <v>0</v>
      </c>
      <c r="G122" s="17">
        <v>0</v>
      </c>
      <c r="H122" s="18">
        <v>0</v>
      </c>
      <c r="I122" s="19">
        <v>0</v>
      </c>
      <c r="J122" s="12">
        <v>18400</v>
      </c>
      <c r="K122" s="8">
        <v>5210</v>
      </c>
      <c r="L122" s="20">
        <v>540.1114041095891</v>
      </c>
      <c r="M122" s="20">
        <v>245</v>
      </c>
      <c r="N122" s="12">
        <v>107.06</v>
      </c>
      <c r="O122" s="12" t="s">
        <v>167</v>
      </c>
      <c r="P122" s="22" t="s">
        <v>167</v>
      </c>
      <c r="Q122" s="12">
        <v>0</v>
      </c>
      <c r="R122" s="12">
        <v>225</v>
      </c>
      <c r="S122" s="12">
        <v>1628.96</v>
      </c>
      <c r="T122" s="12">
        <v>225</v>
      </c>
      <c r="U122" s="12">
        <v>0</v>
      </c>
      <c r="V122" s="12">
        <v>0</v>
      </c>
      <c r="W122" s="12">
        <v>6420</v>
      </c>
      <c r="X122" s="12">
        <v>0</v>
      </c>
      <c r="Y122" s="12">
        <v>-996</v>
      </c>
      <c r="Z122" s="21">
        <v>34959.131404109583</v>
      </c>
      <c r="AA122" s="21">
        <v>-34959.131404109583</v>
      </c>
      <c r="AB122" s="21">
        <v>-42827.131404109583</v>
      </c>
      <c r="AC122" s="12"/>
      <c r="AD122" s="12"/>
      <c r="AE122" s="12"/>
      <c r="AF122" s="12"/>
      <c r="BH122"/>
      <c r="BI122"/>
    </row>
    <row r="123" spans="1:61" ht="14.25" customHeight="1" x14ac:dyDescent="0.3">
      <c r="A123" s="1" t="s">
        <v>123</v>
      </c>
      <c r="B123" s="2" t="s">
        <v>294</v>
      </c>
      <c r="C123" s="2" t="s">
        <v>179</v>
      </c>
      <c r="D123" s="2" t="s">
        <v>311</v>
      </c>
      <c r="E123" s="2" t="s">
        <v>156</v>
      </c>
      <c r="F123" s="4">
        <v>0</v>
      </c>
      <c r="G123" s="17">
        <v>0</v>
      </c>
      <c r="H123" s="18">
        <v>0</v>
      </c>
      <c r="I123" s="19">
        <v>0</v>
      </c>
      <c r="J123" s="12">
        <v>18400</v>
      </c>
      <c r="K123" s="8">
        <v>5210</v>
      </c>
      <c r="L123" s="20">
        <v>550.8614041095891</v>
      </c>
      <c r="M123" s="20">
        <v>245</v>
      </c>
      <c r="N123" s="12">
        <v>107.06</v>
      </c>
      <c r="O123" s="12" t="s">
        <v>167</v>
      </c>
      <c r="P123" s="22" t="s">
        <v>167</v>
      </c>
      <c r="Q123" s="12">
        <v>2707.9</v>
      </c>
      <c r="R123" s="12">
        <v>275</v>
      </c>
      <c r="S123" s="12">
        <v>0</v>
      </c>
      <c r="T123" s="12">
        <v>275</v>
      </c>
      <c r="U123" s="12">
        <v>0</v>
      </c>
      <c r="V123" s="12">
        <v>0</v>
      </c>
      <c r="W123" s="12">
        <v>0</v>
      </c>
      <c r="X123" s="12">
        <v>0</v>
      </c>
      <c r="Y123" s="12">
        <v>-996</v>
      </c>
      <c r="Z123" s="21">
        <v>29023.821404109593</v>
      </c>
      <c r="AA123" s="21">
        <v>-29023.821404109593</v>
      </c>
      <c r="AB123" s="21">
        <v>-36186.821404109593</v>
      </c>
      <c r="AC123" s="12"/>
      <c r="AD123" s="12"/>
      <c r="AE123" s="12"/>
      <c r="AF123" s="12"/>
      <c r="BH123"/>
      <c r="BI123"/>
    </row>
    <row r="124" spans="1:61" ht="14.25" customHeight="1" x14ac:dyDescent="0.3">
      <c r="A124" s="1" t="s">
        <v>124</v>
      </c>
      <c r="B124" s="2" t="s">
        <v>295</v>
      </c>
      <c r="C124" s="2" t="s">
        <v>180</v>
      </c>
      <c r="D124" s="2" t="s">
        <v>311</v>
      </c>
      <c r="E124" s="2" t="s">
        <v>154</v>
      </c>
      <c r="F124" s="4">
        <v>0</v>
      </c>
      <c r="G124" s="17">
        <v>0</v>
      </c>
      <c r="H124" s="18">
        <v>0</v>
      </c>
      <c r="I124" s="19">
        <v>0</v>
      </c>
      <c r="J124" s="12">
        <v>18400</v>
      </c>
      <c r="K124" s="8">
        <v>5210</v>
      </c>
      <c r="L124" s="20">
        <v>478.6</v>
      </c>
      <c r="M124" s="20">
        <v>245</v>
      </c>
      <c r="N124" s="12">
        <v>107.06</v>
      </c>
      <c r="O124" s="12" t="s">
        <v>167</v>
      </c>
      <c r="P124" s="22" t="s">
        <v>167</v>
      </c>
      <c r="Q124" s="12">
        <v>0</v>
      </c>
      <c r="R124" s="12">
        <v>0</v>
      </c>
      <c r="S124" s="12">
        <v>0</v>
      </c>
      <c r="T124" s="12">
        <v>0</v>
      </c>
      <c r="U124" s="12">
        <v>0</v>
      </c>
      <c r="V124" s="12">
        <v>0</v>
      </c>
      <c r="W124" s="12">
        <v>6420</v>
      </c>
      <c r="X124" s="12">
        <v>0</v>
      </c>
      <c r="Y124" s="12">
        <v>-996</v>
      </c>
      <c r="Z124" s="21">
        <v>32818.659999999996</v>
      </c>
      <c r="AA124" s="21">
        <v>-32818.659999999996</v>
      </c>
      <c r="AB124" s="21">
        <v>-40686.659999999996</v>
      </c>
      <c r="AC124" s="12"/>
      <c r="AD124" s="12"/>
      <c r="AE124" s="12"/>
      <c r="AF124" s="12"/>
      <c r="BH124"/>
      <c r="BI124"/>
    </row>
    <row r="125" spans="1:61" ht="14.25" customHeight="1" x14ac:dyDescent="0.3">
      <c r="A125" s="1" t="s">
        <v>125</v>
      </c>
      <c r="B125" s="2" t="s">
        <v>296</v>
      </c>
      <c r="C125" s="2" t="s">
        <v>180</v>
      </c>
      <c r="D125" s="2" t="s">
        <v>311</v>
      </c>
      <c r="E125" s="2" t="s">
        <v>154</v>
      </c>
      <c r="F125" s="4">
        <v>0</v>
      </c>
      <c r="G125" s="17">
        <v>0</v>
      </c>
      <c r="H125" s="18">
        <v>0</v>
      </c>
      <c r="I125" s="19">
        <v>0</v>
      </c>
      <c r="J125" s="12">
        <v>18400</v>
      </c>
      <c r="K125" s="8">
        <v>5210</v>
      </c>
      <c r="L125" s="20">
        <v>548.86140410958899</v>
      </c>
      <c r="M125" s="20">
        <v>245</v>
      </c>
      <c r="N125" s="12">
        <v>107.06</v>
      </c>
      <c r="O125" s="12" t="s">
        <v>167</v>
      </c>
      <c r="P125" s="22" t="s">
        <v>167</v>
      </c>
      <c r="Q125" s="12">
        <v>0</v>
      </c>
      <c r="R125" s="12">
        <v>0</v>
      </c>
      <c r="S125" s="12">
        <v>0</v>
      </c>
      <c r="T125" s="12">
        <v>0</v>
      </c>
      <c r="U125" s="12">
        <v>0</v>
      </c>
      <c r="V125" s="12">
        <v>0</v>
      </c>
      <c r="W125" s="12">
        <v>6420</v>
      </c>
      <c r="X125" s="12">
        <v>0</v>
      </c>
      <c r="Y125" s="12">
        <v>-996</v>
      </c>
      <c r="Z125" s="21">
        <v>32888.921404109591</v>
      </c>
      <c r="AA125" s="21">
        <v>-32888.921404109591</v>
      </c>
      <c r="AB125" s="21">
        <v>-40756.921404109591</v>
      </c>
      <c r="AC125" s="12"/>
      <c r="AD125" s="12"/>
      <c r="AE125" s="12"/>
      <c r="AF125" s="12"/>
      <c r="BH125"/>
      <c r="BI125"/>
    </row>
    <row r="126" spans="1:61" ht="14.25" customHeight="1" x14ac:dyDescent="0.3">
      <c r="A126" s="1" t="s">
        <v>126</v>
      </c>
      <c r="B126" s="2" t="s">
        <v>297</v>
      </c>
      <c r="C126" s="2" t="s">
        <v>176</v>
      </c>
      <c r="D126" s="2" t="s">
        <v>312</v>
      </c>
      <c r="E126" s="2" t="s">
        <v>156</v>
      </c>
      <c r="F126" s="4">
        <v>0</v>
      </c>
      <c r="G126" s="17">
        <v>0</v>
      </c>
      <c r="H126" s="18">
        <v>0</v>
      </c>
      <c r="I126" s="19">
        <v>0</v>
      </c>
      <c r="J126" s="12">
        <v>9200</v>
      </c>
      <c r="K126" s="8">
        <v>5210</v>
      </c>
      <c r="L126" s="20">
        <v>61.081404109589037</v>
      </c>
      <c r="M126" s="20">
        <v>245</v>
      </c>
      <c r="N126" s="12">
        <v>107.06</v>
      </c>
      <c r="O126" s="12" t="s">
        <v>167</v>
      </c>
      <c r="P126" s="22" t="s">
        <v>167</v>
      </c>
      <c r="Q126" s="12">
        <v>0</v>
      </c>
      <c r="R126" s="12">
        <v>0</v>
      </c>
      <c r="S126" s="12">
        <v>0</v>
      </c>
      <c r="T126" s="12">
        <v>0</v>
      </c>
      <c r="U126" s="12">
        <v>0</v>
      </c>
      <c r="V126" s="12">
        <v>0</v>
      </c>
      <c r="W126" s="12">
        <v>0</v>
      </c>
      <c r="X126" s="12">
        <v>0</v>
      </c>
      <c r="Y126" s="12">
        <v>-996</v>
      </c>
      <c r="Z126" s="21">
        <v>16076.141404109589</v>
      </c>
      <c r="AA126" s="21">
        <v>-16076.141404109589</v>
      </c>
      <c r="AB126" s="21">
        <v>-23239.141404109589</v>
      </c>
      <c r="AC126" s="12"/>
      <c r="AD126" s="12"/>
      <c r="AE126" s="12"/>
      <c r="AF126" s="12"/>
      <c r="BH126"/>
      <c r="BI126"/>
    </row>
    <row r="127" spans="1:61" ht="14.25" customHeight="1" x14ac:dyDescent="0.3">
      <c r="A127" s="1" t="s">
        <v>127</v>
      </c>
      <c r="B127" s="2" t="s">
        <v>298</v>
      </c>
      <c r="C127" s="2" t="s">
        <v>176</v>
      </c>
      <c r="D127" s="2" t="s">
        <v>312</v>
      </c>
      <c r="E127" s="2" t="s">
        <v>154</v>
      </c>
      <c r="F127" s="4">
        <v>0</v>
      </c>
      <c r="G127" s="17">
        <v>0</v>
      </c>
      <c r="H127" s="18">
        <v>0</v>
      </c>
      <c r="I127" s="19">
        <v>0</v>
      </c>
      <c r="J127" s="12">
        <v>9200</v>
      </c>
      <c r="K127" s="8">
        <v>5210</v>
      </c>
      <c r="L127" s="20">
        <v>61.081404109589037</v>
      </c>
      <c r="M127" s="20">
        <v>245</v>
      </c>
      <c r="N127" s="12">
        <v>107.06</v>
      </c>
      <c r="O127" s="12" t="s">
        <v>167</v>
      </c>
      <c r="P127" s="22" t="s">
        <v>167</v>
      </c>
      <c r="Q127" s="12">
        <v>3038.48</v>
      </c>
      <c r="R127" s="12">
        <v>225</v>
      </c>
      <c r="S127" s="12">
        <v>0.91</v>
      </c>
      <c r="T127" s="12">
        <v>225</v>
      </c>
      <c r="U127" s="12">
        <v>0</v>
      </c>
      <c r="V127" s="12">
        <v>1186</v>
      </c>
      <c r="W127" s="12">
        <v>0</v>
      </c>
      <c r="X127" s="12">
        <v>0</v>
      </c>
      <c r="Y127" s="12">
        <v>-996</v>
      </c>
      <c r="Z127" s="21">
        <v>21456.531404109588</v>
      </c>
      <c r="AA127" s="21">
        <v>-21456.531404109588</v>
      </c>
      <c r="AB127" s="21">
        <v>-29324.531404109588</v>
      </c>
      <c r="AC127" s="12"/>
      <c r="AD127" s="12"/>
      <c r="AE127" s="12"/>
      <c r="AF127" s="12"/>
      <c r="BH127"/>
      <c r="BI127"/>
    </row>
    <row r="128" spans="1:61" ht="14.25" customHeight="1" x14ac:dyDescent="0.3">
      <c r="A128" s="1" t="s">
        <v>128</v>
      </c>
      <c r="B128" s="2" t="s">
        <v>299</v>
      </c>
      <c r="C128" s="2" t="s">
        <v>176</v>
      </c>
      <c r="D128" s="2" t="s">
        <v>312</v>
      </c>
      <c r="E128" s="2" t="s">
        <v>154</v>
      </c>
      <c r="F128" s="4">
        <v>0</v>
      </c>
      <c r="G128" s="17">
        <v>0</v>
      </c>
      <c r="H128" s="18">
        <v>0</v>
      </c>
      <c r="I128" s="19">
        <v>0</v>
      </c>
      <c r="J128" s="12">
        <v>9200</v>
      </c>
      <c r="K128" s="8">
        <v>5210</v>
      </c>
      <c r="L128" s="20">
        <v>61.081404109589037</v>
      </c>
      <c r="M128" s="20">
        <v>245</v>
      </c>
      <c r="N128" s="12">
        <v>107.06</v>
      </c>
      <c r="O128" s="12" t="s">
        <v>167</v>
      </c>
      <c r="P128" s="22" t="s">
        <v>167</v>
      </c>
      <c r="Q128" s="12">
        <v>2639.12</v>
      </c>
      <c r="R128" s="12">
        <v>225</v>
      </c>
      <c r="S128" s="12">
        <v>0</v>
      </c>
      <c r="T128" s="12">
        <v>225</v>
      </c>
      <c r="U128" s="12">
        <v>0</v>
      </c>
      <c r="V128" s="12">
        <v>0</v>
      </c>
      <c r="W128" s="12">
        <v>0</v>
      </c>
      <c r="X128" s="12">
        <v>0</v>
      </c>
      <c r="Y128" s="12">
        <v>-996</v>
      </c>
      <c r="Z128" s="21">
        <v>19870.261404109588</v>
      </c>
      <c r="AA128" s="21">
        <v>-19870.261404109588</v>
      </c>
      <c r="AB128" s="21">
        <v>-27738.261404109588</v>
      </c>
      <c r="AC128" s="12"/>
      <c r="AD128" s="12"/>
      <c r="AE128" s="12"/>
      <c r="AF128" s="12"/>
      <c r="BH128"/>
      <c r="BI128"/>
    </row>
    <row r="129" spans="1:61" ht="14.25" customHeight="1" x14ac:dyDescent="0.3">
      <c r="A129" s="1" t="s">
        <v>129</v>
      </c>
      <c r="B129" s="2" t="s">
        <v>300</v>
      </c>
      <c r="C129" s="2" t="s">
        <v>176</v>
      </c>
      <c r="D129" s="2" t="s">
        <v>312</v>
      </c>
      <c r="E129" s="2" t="s">
        <v>154</v>
      </c>
      <c r="F129" s="4">
        <v>0</v>
      </c>
      <c r="G129" s="17">
        <v>0</v>
      </c>
      <c r="H129" s="18">
        <v>0</v>
      </c>
      <c r="I129" s="19">
        <v>0</v>
      </c>
      <c r="J129" s="12">
        <v>9200</v>
      </c>
      <c r="K129" s="8">
        <v>5210</v>
      </c>
      <c r="L129" s="20">
        <v>61.081404109589037</v>
      </c>
      <c r="M129" s="20">
        <v>245</v>
      </c>
      <c r="N129" s="12">
        <v>107.06</v>
      </c>
      <c r="O129" s="12" t="s">
        <v>167</v>
      </c>
      <c r="P129" s="22" t="s">
        <v>167</v>
      </c>
      <c r="Q129" s="12">
        <v>3522.34</v>
      </c>
      <c r="R129" s="12">
        <v>450</v>
      </c>
      <c r="S129" s="12">
        <v>58.89</v>
      </c>
      <c r="T129" s="12">
        <v>450</v>
      </c>
      <c r="U129" s="12">
        <v>0</v>
      </c>
      <c r="V129" s="12">
        <v>3365.68</v>
      </c>
      <c r="W129" s="12">
        <v>0</v>
      </c>
      <c r="X129" s="12">
        <v>0</v>
      </c>
      <c r="Y129" s="12">
        <v>-996</v>
      </c>
      <c r="Z129" s="21">
        <v>24628.051404109588</v>
      </c>
      <c r="AA129" s="21">
        <v>-24628.051404109588</v>
      </c>
      <c r="AB129" s="21">
        <v>-32496.051404109588</v>
      </c>
      <c r="AC129" s="12"/>
      <c r="AD129" s="12"/>
      <c r="AE129" s="12"/>
      <c r="AF129" s="12"/>
      <c r="BH129"/>
      <c r="BI129"/>
    </row>
    <row r="130" spans="1:61" ht="14.25" customHeight="1" x14ac:dyDescent="0.3">
      <c r="A130" s="1" t="s">
        <v>130</v>
      </c>
      <c r="B130" s="2" t="s">
        <v>301</v>
      </c>
      <c r="C130" s="2" t="s">
        <v>177</v>
      </c>
      <c r="D130" s="2" t="s">
        <v>312</v>
      </c>
      <c r="E130" s="2" t="s">
        <v>154</v>
      </c>
      <c r="F130" s="4">
        <v>0</v>
      </c>
      <c r="G130" s="17">
        <v>0</v>
      </c>
      <c r="H130" s="18">
        <v>0</v>
      </c>
      <c r="I130" s="19">
        <v>0</v>
      </c>
      <c r="J130" s="12">
        <v>0</v>
      </c>
      <c r="K130" s="8">
        <v>5210</v>
      </c>
      <c r="L130" s="20">
        <v>61.081404109589037</v>
      </c>
      <c r="M130" s="20">
        <v>245</v>
      </c>
      <c r="N130" s="12">
        <v>107.06</v>
      </c>
      <c r="O130" s="12" t="s">
        <v>167</v>
      </c>
      <c r="P130" s="22" t="s">
        <v>167</v>
      </c>
      <c r="Q130" s="12">
        <v>2533.33</v>
      </c>
      <c r="R130" s="12">
        <v>225</v>
      </c>
      <c r="S130" s="12">
        <v>44.26</v>
      </c>
      <c r="T130" s="12">
        <v>225</v>
      </c>
      <c r="U130" s="12">
        <v>0</v>
      </c>
      <c r="V130" s="12">
        <v>6299.8</v>
      </c>
      <c r="W130" s="12">
        <v>0</v>
      </c>
      <c r="X130" s="12">
        <v>0</v>
      </c>
      <c r="Y130" s="12">
        <v>-996</v>
      </c>
      <c r="Z130" s="21">
        <v>16908.531404109588</v>
      </c>
      <c r="AA130" s="21">
        <v>-16908.531404109588</v>
      </c>
      <c r="AB130" s="21">
        <v>-24776.531404109588</v>
      </c>
      <c r="AC130" s="12"/>
      <c r="AD130" s="12"/>
      <c r="AE130" s="12"/>
      <c r="AF130" s="12"/>
      <c r="BH130"/>
      <c r="BI130"/>
    </row>
    <row r="131" spans="1:61" ht="14.25" customHeight="1" x14ac:dyDescent="0.3">
      <c r="A131" s="1" t="s">
        <v>131</v>
      </c>
      <c r="B131" s="2" t="s">
        <v>302</v>
      </c>
      <c r="C131" s="2" t="s">
        <v>177</v>
      </c>
      <c r="D131" s="2" t="s">
        <v>312</v>
      </c>
      <c r="E131" s="2" t="s">
        <v>154</v>
      </c>
      <c r="F131" s="4">
        <v>0</v>
      </c>
      <c r="G131" s="17">
        <v>0</v>
      </c>
      <c r="H131" s="18">
        <v>0</v>
      </c>
      <c r="I131" s="19">
        <v>0</v>
      </c>
      <c r="J131" s="12">
        <v>0</v>
      </c>
      <c r="K131" s="8">
        <v>5210</v>
      </c>
      <c r="L131" s="20">
        <v>61.081404109589037</v>
      </c>
      <c r="M131" s="20">
        <v>245</v>
      </c>
      <c r="N131" s="12">
        <v>107.06</v>
      </c>
      <c r="O131" s="12" t="s">
        <v>167</v>
      </c>
      <c r="P131" s="22" t="s">
        <v>167</v>
      </c>
      <c r="Q131" s="12">
        <v>3462.85</v>
      </c>
      <c r="R131" s="12">
        <v>225</v>
      </c>
      <c r="S131" s="12">
        <v>0</v>
      </c>
      <c r="T131" s="12">
        <v>225</v>
      </c>
      <c r="U131" s="12">
        <v>0</v>
      </c>
      <c r="V131" s="12">
        <v>0</v>
      </c>
      <c r="W131" s="12">
        <v>0</v>
      </c>
      <c r="X131" s="12">
        <v>0</v>
      </c>
      <c r="Y131" s="12">
        <v>-996</v>
      </c>
      <c r="Z131" s="21">
        <v>11493.991404109589</v>
      </c>
      <c r="AA131" s="21">
        <v>-11493.991404109589</v>
      </c>
      <c r="AB131" s="21">
        <v>-19361.991404109591</v>
      </c>
      <c r="AC131" s="12"/>
      <c r="AD131" s="12"/>
      <c r="AE131" s="12"/>
      <c r="AF131" s="12"/>
      <c r="BH131"/>
      <c r="BI131"/>
    </row>
    <row r="132" spans="1:61" ht="14.25" customHeight="1" x14ac:dyDescent="0.3">
      <c r="A132" s="1" t="s">
        <v>132</v>
      </c>
      <c r="B132" s="2" t="s">
        <v>303</v>
      </c>
      <c r="C132" s="2" t="s">
        <v>177</v>
      </c>
      <c r="D132" s="2" t="s">
        <v>312</v>
      </c>
      <c r="E132" s="2" t="s">
        <v>154</v>
      </c>
      <c r="F132" s="4">
        <v>0</v>
      </c>
      <c r="G132" s="17">
        <v>0</v>
      </c>
      <c r="H132" s="18">
        <v>0</v>
      </c>
      <c r="I132" s="19">
        <v>0</v>
      </c>
      <c r="J132" s="12">
        <v>0</v>
      </c>
      <c r="K132" s="8">
        <v>5210</v>
      </c>
      <c r="L132" s="20">
        <v>61.081404109589037</v>
      </c>
      <c r="M132" s="20">
        <v>245</v>
      </c>
      <c r="N132" s="12">
        <v>107.06</v>
      </c>
      <c r="O132" s="12" t="s">
        <v>167</v>
      </c>
      <c r="P132" s="22" t="s">
        <v>167</v>
      </c>
      <c r="Q132" s="12">
        <v>2533.33</v>
      </c>
      <c r="R132" s="12">
        <v>225</v>
      </c>
      <c r="S132" s="12">
        <v>0</v>
      </c>
      <c r="T132" s="12">
        <v>225</v>
      </c>
      <c r="U132" s="12">
        <v>0</v>
      </c>
      <c r="V132" s="12">
        <v>2372</v>
      </c>
      <c r="W132" s="12">
        <v>0</v>
      </c>
      <c r="X132" s="12">
        <v>0</v>
      </c>
      <c r="Y132" s="12">
        <v>-996</v>
      </c>
      <c r="Z132" s="21">
        <v>12936.471404109589</v>
      </c>
      <c r="AA132" s="21">
        <v>-12936.471404109589</v>
      </c>
      <c r="AB132" s="21">
        <v>-20804.471404109587</v>
      </c>
      <c r="AC132" s="12"/>
      <c r="AD132" s="12"/>
      <c r="AE132" s="12"/>
      <c r="AF132" s="12"/>
      <c r="BH132"/>
      <c r="BI132"/>
    </row>
    <row r="133" spans="1:61" ht="14.25" customHeight="1" x14ac:dyDescent="0.3">
      <c r="A133" s="1" t="s">
        <v>133</v>
      </c>
      <c r="B133" s="2" t="s">
        <v>304</v>
      </c>
      <c r="C133" s="2" t="s">
        <v>177</v>
      </c>
      <c r="D133" s="2" t="s">
        <v>312</v>
      </c>
      <c r="E133" s="2" t="s">
        <v>154</v>
      </c>
      <c r="F133" s="4">
        <v>0</v>
      </c>
      <c r="G133" s="17">
        <v>0</v>
      </c>
      <c r="H133" s="18">
        <v>0</v>
      </c>
      <c r="I133" s="19">
        <v>0</v>
      </c>
      <c r="J133" s="12">
        <v>0</v>
      </c>
      <c r="K133" s="8">
        <v>5210</v>
      </c>
      <c r="L133" s="20">
        <v>61.081404109589037</v>
      </c>
      <c r="M133" s="20">
        <v>245</v>
      </c>
      <c r="N133" s="12">
        <v>107.06</v>
      </c>
      <c r="O133" s="12" t="s">
        <v>167</v>
      </c>
      <c r="P133" s="22" t="s">
        <v>167</v>
      </c>
      <c r="Q133" s="12">
        <v>2095.88</v>
      </c>
      <c r="R133" s="12">
        <v>0</v>
      </c>
      <c r="S133" s="12">
        <v>0</v>
      </c>
      <c r="T133" s="12">
        <v>0</v>
      </c>
      <c r="U133" s="12">
        <v>0</v>
      </c>
      <c r="V133" s="12">
        <v>3350</v>
      </c>
      <c r="W133" s="12">
        <v>0</v>
      </c>
      <c r="X133" s="12">
        <v>0</v>
      </c>
      <c r="Y133" s="12">
        <v>-996</v>
      </c>
      <c r="Z133" s="21">
        <v>13027.02140410959</v>
      </c>
      <c r="AA133" s="21">
        <v>-13027.02140410959</v>
      </c>
      <c r="AB133" s="21">
        <v>-20895.02140410959</v>
      </c>
      <c r="AC133" s="12"/>
      <c r="AD133" s="12"/>
      <c r="AE133" s="12"/>
      <c r="AF133" s="12"/>
      <c r="BH133"/>
      <c r="BI133"/>
    </row>
    <row r="134" spans="1:61" ht="14.25" customHeight="1" x14ac:dyDescent="0.3">
      <c r="A134" s="1" t="s">
        <v>134</v>
      </c>
      <c r="B134" s="2" t="s">
        <v>305</v>
      </c>
      <c r="C134" s="2" t="s">
        <v>177</v>
      </c>
      <c r="D134" s="2" t="s">
        <v>312</v>
      </c>
      <c r="E134" s="2" t="s">
        <v>154</v>
      </c>
      <c r="F134" s="4">
        <v>0</v>
      </c>
      <c r="G134" s="17">
        <v>0</v>
      </c>
      <c r="H134" s="18">
        <v>0</v>
      </c>
      <c r="I134" s="19">
        <v>0</v>
      </c>
      <c r="J134" s="12">
        <v>0</v>
      </c>
      <c r="K134" s="8">
        <v>5210</v>
      </c>
      <c r="L134" s="20">
        <v>61.081404109589037</v>
      </c>
      <c r="M134" s="20">
        <v>245</v>
      </c>
      <c r="N134" s="12">
        <v>107.06</v>
      </c>
      <c r="O134" s="12" t="s">
        <v>167</v>
      </c>
      <c r="P134" s="22" t="s">
        <v>167</v>
      </c>
      <c r="Q134" s="12">
        <v>3159.57</v>
      </c>
      <c r="R134" s="12">
        <v>225</v>
      </c>
      <c r="S134" s="12">
        <v>0</v>
      </c>
      <c r="T134" s="12">
        <v>225</v>
      </c>
      <c r="U134" s="12">
        <v>0</v>
      </c>
      <c r="V134" s="12">
        <v>0</v>
      </c>
      <c r="W134" s="12">
        <v>0</v>
      </c>
      <c r="X134" s="12">
        <v>0</v>
      </c>
      <c r="Y134" s="12">
        <v>-996</v>
      </c>
      <c r="Z134" s="21">
        <v>11190.711404109588</v>
      </c>
      <c r="AA134" s="21">
        <v>-11190.711404109588</v>
      </c>
      <c r="AB134" s="21">
        <v>-19058.711404109588</v>
      </c>
      <c r="AC134" s="12"/>
      <c r="AD134" s="12"/>
      <c r="AE134" s="12"/>
      <c r="AF134" s="12"/>
      <c r="BH134"/>
      <c r="BI134"/>
    </row>
    <row r="135" spans="1:61" ht="14.25" customHeight="1" x14ac:dyDescent="0.3">
      <c r="A135" s="1" t="s">
        <v>144</v>
      </c>
      <c r="B135" s="2" t="s">
        <v>306</v>
      </c>
      <c r="C135" s="2" t="s">
        <v>177</v>
      </c>
      <c r="D135" s="2" t="s">
        <v>312</v>
      </c>
      <c r="E135" s="2" t="s">
        <v>154</v>
      </c>
      <c r="F135" s="4">
        <v>0</v>
      </c>
      <c r="G135" s="17">
        <v>0</v>
      </c>
      <c r="H135" s="18">
        <v>0</v>
      </c>
      <c r="I135" s="19">
        <v>0</v>
      </c>
      <c r="J135" s="12">
        <v>0</v>
      </c>
      <c r="K135" s="8">
        <v>5210</v>
      </c>
      <c r="L135" s="20">
        <v>61.081404109589037</v>
      </c>
      <c r="M135" s="20">
        <v>245</v>
      </c>
      <c r="N135" s="12">
        <v>107.06</v>
      </c>
      <c r="O135" s="12" t="s">
        <v>167</v>
      </c>
      <c r="P135" s="22" t="s">
        <v>167</v>
      </c>
      <c r="Q135" s="12">
        <v>3548.1899999999996</v>
      </c>
      <c r="R135" s="12">
        <v>0</v>
      </c>
      <c r="S135" s="12">
        <v>19.63</v>
      </c>
      <c r="T135" s="12">
        <v>0</v>
      </c>
      <c r="U135" s="12">
        <v>0</v>
      </c>
      <c r="V135" s="12">
        <v>2372</v>
      </c>
      <c r="W135" s="12">
        <v>0</v>
      </c>
      <c r="X135" s="12">
        <v>0</v>
      </c>
      <c r="Y135" s="12">
        <v>-996</v>
      </c>
      <c r="Z135" s="21">
        <v>13520.961404109588</v>
      </c>
      <c r="AA135" s="21">
        <v>-13520.961404109588</v>
      </c>
      <c r="AB135" s="21">
        <v>-21388.961404109588</v>
      </c>
      <c r="AC135" s="12"/>
      <c r="AD135" s="12"/>
      <c r="AE135" s="12"/>
      <c r="AF135" s="12"/>
      <c r="BH135"/>
      <c r="BI135"/>
    </row>
    <row r="136" spans="1:61" ht="14.25" customHeight="1" x14ac:dyDescent="0.3">
      <c r="A136" s="1" t="s">
        <v>146</v>
      </c>
      <c r="B136" s="2" t="s">
        <v>307</v>
      </c>
      <c r="C136" s="2" t="s">
        <v>177</v>
      </c>
      <c r="D136" s="2" t="s">
        <v>312</v>
      </c>
      <c r="E136" s="2" t="s">
        <v>154</v>
      </c>
      <c r="F136" s="4">
        <v>0</v>
      </c>
      <c r="G136" s="17">
        <v>0</v>
      </c>
      <c r="H136" s="18">
        <v>0</v>
      </c>
      <c r="I136" s="19">
        <v>0</v>
      </c>
      <c r="J136" s="12">
        <v>0</v>
      </c>
      <c r="K136" s="8">
        <v>5210</v>
      </c>
      <c r="L136" s="20">
        <v>61.081404109589037</v>
      </c>
      <c r="M136" s="20">
        <v>245</v>
      </c>
      <c r="N136" s="12">
        <v>107.06</v>
      </c>
      <c r="O136" s="12" t="s">
        <v>167</v>
      </c>
      <c r="P136" s="22" t="s">
        <v>167</v>
      </c>
      <c r="Q136" s="12">
        <v>3794.4300000000003</v>
      </c>
      <c r="R136" s="12">
        <v>225</v>
      </c>
      <c r="S136" s="12">
        <v>0</v>
      </c>
      <c r="T136" s="12">
        <v>225</v>
      </c>
      <c r="U136" s="12">
        <v>0</v>
      </c>
      <c r="V136" s="12">
        <v>2372</v>
      </c>
      <c r="W136" s="12">
        <v>0</v>
      </c>
      <c r="X136" s="12">
        <v>0</v>
      </c>
      <c r="Y136" s="12">
        <v>-996</v>
      </c>
      <c r="Z136" s="21">
        <v>14197.571404109589</v>
      </c>
      <c r="AA136" s="21">
        <v>-14197.571404109589</v>
      </c>
      <c r="AB136" s="21">
        <v>-22065.571404109589</v>
      </c>
      <c r="AC136" s="12"/>
      <c r="AD136" s="12"/>
      <c r="AE136" s="12"/>
      <c r="AF136" s="12"/>
      <c r="BH136"/>
      <c r="BI136"/>
    </row>
    <row r="137" spans="1:61" ht="14.25" customHeight="1" x14ac:dyDescent="0.3">
      <c r="A137" s="1" t="s">
        <v>58</v>
      </c>
      <c r="B137" s="2" t="s">
        <v>308</v>
      </c>
      <c r="C137" s="2" t="s">
        <v>177</v>
      </c>
      <c r="D137" s="2" t="s">
        <v>312</v>
      </c>
      <c r="E137" s="2" t="s">
        <v>154</v>
      </c>
      <c r="F137" s="4">
        <v>0</v>
      </c>
      <c r="G137" s="17">
        <v>0</v>
      </c>
      <c r="H137" s="18">
        <v>0</v>
      </c>
      <c r="I137" s="19">
        <v>0</v>
      </c>
      <c r="J137" s="12">
        <v>0</v>
      </c>
      <c r="K137" s="8">
        <v>5210</v>
      </c>
      <c r="L137" s="20">
        <v>61.081404109589037</v>
      </c>
      <c r="M137" s="20">
        <v>245</v>
      </c>
      <c r="N137" s="12">
        <v>107.06</v>
      </c>
      <c r="O137" s="12" t="s">
        <v>167</v>
      </c>
      <c r="P137" s="22" t="s">
        <v>167</v>
      </c>
      <c r="Q137" s="12">
        <v>2950.32</v>
      </c>
      <c r="R137" s="12">
        <v>450</v>
      </c>
      <c r="S137" s="12">
        <v>19.63</v>
      </c>
      <c r="T137" s="12">
        <v>450</v>
      </c>
      <c r="U137" s="12">
        <v>0</v>
      </c>
      <c r="V137" s="12">
        <v>0</v>
      </c>
      <c r="W137" s="12">
        <v>0</v>
      </c>
      <c r="X137" s="12">
        <v>0</v>
      </c>
      <c r="Y137" s="12">
        <v>-996</v>
      </c>
      <c r="Z137" s="21">
        <v>11451.091404109589</v>
      </c>
      <c r="AA137" s="21">
        <v>-11451.091404109589</v>
      </c>
      <c r="AB137" s="21">
        <v>-19319.091404109589</v>
      </c>
      <c r="AC137" s="12"/>
      <c r="AD137" s="12"/>
      <c r="AE137" s="12"/>
      <c r="AF137" s="12"/>
      <c r="BH137"/>
      <c r="BI137"/>
    </row>
    <row r="138" spans="1:61" ht="14.25" customHeight="1" x14ac:dyDescent="0.3">
      <c r="A138" s="1" t="s">
        <v>53</v>
      </c>
      <c r="B138" s="2" t="s">
        <v>309</v>
      </c>
      <c r="C138" s="2" t="s">
        <v>177</v>
      </c>
      <c r="D138" s="2" t="s">
        <v>312</v>
      </c>
      <c r="E138" s="2" t="s">
        <v>154</v>
      </c>
      <c r="F138" s="4">
        <v>0</v>
      </c>
      <c r="G138" s="17">
        <v>0</v>
      </c>
      <c r="H138" s="18">
        <v>0</v>
      </c>
      <c r="I138" s="19">
        <v>0</v>
      </c>
      <c r="J138" s="12">
        <v>0</v>
      </c>
      <c r="K138" s="8">
        <v>5210</v>
      </c>
      <c r="L138" s="20">
        <v>61.081404109589037</v>
      </c>
      <c r="M138" s="20">
        <v>245</v>
      </c>
      <c r="N138" s="12">
        <v>107.06</v>
      </c>
      <c r="O138" s="12" t="s">
        <v>167</v>
      </c>
      <c r="P138" s="22" t="s">
        <v>167</v>
      </c>
      <c r="Q138" s="12">
        <v>3107.39</v>
      </c>
      <c r="R138" s="12">
        <v>0</v>
      </c>
      <c r="S138" s="12">
        <v>43.04</v>
      </c>
      <c r="T138" s="12">
        <v>0</v>
      </c>
      <c r="U138" s="12">
        <v>0</v>
      </c>
      <c r="V138" s="12">
        <v>0</v>
      </c>
      <c r="W138" s="12">
        <v>0</v>
      </c>
      <c r="X138" s="12">
        <v>0</v>
      </c>
      <c r="Y138" s="12">
        <v>-996</v>
      </c>
      <c r="Z138" s="21">
        <v>10731.571404109589</v>
      </c>
      <c r="AA138" s="21">
        <v>-10731.571404109589</v>
      </c>
      <c r="AB138" s="21">
        <v>-18599.571404109589</v>
      </c>
      <c r="AC138" s="12"/>
      <c r="AD138" s="12"/>
      <c r="AE138" s="12"/>
      <c r="AF138" s="12"/>
      <c r="BH138"/>
      <c r="BI138"/>
    </row>
    <row r="139" spans="1:61" ht="14.25" customHeight="1" x14ac:dyDescent="0.3">
      <c r="A139" s="1" t="s">
        <v>52</v>
      </c>
      <c r="B139" s="2" t="s">
        <v>310</v>
      </c>
      <c r="C139" s="2" t="s">
        <v>175</v>
      </c>
      <c r="D139" s="2" t="s">
        <v>312</v>
      </c>
      <c r="E139" s="2" t="s">
        <v>153</v>
      </c>
      <c r="F139" s="4">
        <v>0</v>
      </c>
      <c r="G139" s="17">
        <v>0</v>
      </c>
      <c r="H139" s="18">
        <v>0</v>
      </c>
      <c r="I139" s="19">
        <v>0</v>
      </c>
      <c r="J139" s="12">
        <v>0</v>
      </c>
      <c r="K139" s="8">
        <v>5210</v>
      </c>
      <c r="L139" s="20">
        <v>539.98140410958899</v>
      </c>
      <c r="M139" s="20">
        <v>245</v>
      </c>
      <c r="N139" s="12">
        <v>107.06</v>
      </c>
      <c r="O139" s="12" t="s">
        <v>167</v>
      </c>
      <c r="P139" s="22" t="s">
        <v>167</v>
      </c>
      <c r="Q139" s="12">
        <v>1777.96</v>
      </c>
      <c r="R139" s="12">
        <v>0</v>
      </c>
      <c r="S139" s="12">
        <v>19.63</v>
      </c>
      <c r="T139" s="12">
        <v>0</v>
      </c>
      <c r="U139" s="12">
        <v>0</v>
      </c>
      <c r="V139" s="12">
        <v>0</v>
      </c>
      <c r="W139" s="12">
        <v>0</v>
      </c>
      <c r="X139" s="12">
        <v>0</v>
      </c>
      <c r="Y139" s="12">
        <v>-996</v>
      </c>
      <c r="Z139" s="21">
        <v>9152.6314041095884</v>
      </c>
      <c r="AA139" s="21">
        <v>-9152.6314041095884</v>
      </c>
      <c r="AB139" s="21">
        <v>-16315.631404109588</v>
      </c>
      <c r="AC139" s="12"/>
      <c r="AD139" s="12"/>
      <c r="AE139" s="12"/>
      <c r="AF139" s="12"/>
      <c r="BH139"/>
      <c r="BI139"/>
    </row>
    <row r="140" spans="1:61" ht="14.25" customHeight="1" x14ac:dyDescent="0.3">
      <c r="E140" s="2">
        <v>0</v>
      </c>
      <c r="F140" s="4"/>
      <c r="G140" s="9"/>
      <c r="H140" s="6"/>
      <c r="I140" s="6"/>
      <c r="J140" s="9"/>
      <c r="K140" s="8"/>
      <c r="L140" s="5"/>
      <c r="M140" s="20">
        <v>245</v>
      </c>
      <c r="N140" s="5"/>
      <c r="O140" s="5"/>
      <c r="P140" s="22" t="s">
        <v>167</v>
      </c>
      <c r="Q140" s="5"/>
      <c r="R140" s="12">
        <v>29621.57</v>
      </c>
      <c r="S140" s="5">
        <v>19895.150000000001</v>
      </c>
      <c r="T140" s="12">
        <v>29621.57</v>
      </c>
      <c r="U140" s="5">
        <v>1010.3249946674025</v>
      </c>
      <c r="V140" s="5"/>
      <c r="W140" s="12"/>
      <c r="X140" s="5"/>
      <c r="Y140" s="12"/>
      <c r="Z140" s="21">
        <v>3311586.6634391174</v>
      </c>
      <c r="AA140" s="21"/>
      <c r="AB140" s="21"/>
      <c r="AC140" s="5"/>
      <c r="AD140" s="5"/>
      <c r="AE140" s="5"/>
      <c r="AF140" s="5"/>
      <c r="BH140"/>
      <c r="BI140"/>
    </row>
    <row r="141" spans="1:61" ht="14.25" customHeight="1" x14ac:dyDescent="0.3">
      <c r="F141" s="4"/>
      <c r="G141" s="33"/>
      <c r="H141" s="30"/>
      <c r="I141" s="30"/>
      <c r="J141" s="6"/>
      <c r="K141" s="34"/>
      <c r="L141" s="6"/>
      <c r="M141" s="35"/>
      <c r="N141" s="6"/>
      <c r="O141" s="6"/>
      <c r="P141" s="36"/>
      <c r="Q141" s="6"/>
      <c r="R141" s="35"/>
      <c r="S141" s="6"/>
      <c r="T141" s="6"/>
      <c r="U141" s="6"/>
      <c r="V141" s="6" t="s">
        <v>174</v>
      </c>
      <c r="W141" s="35"/>
      <c r="X141" s="6"/>
      <c r="Y141" s="35"/>
      <c r="Z141" s="37"/>
      <c r="AA141" s="37"/>
      <c r="AB141" s="37"/>
      <c r="AC141" s="6"/>
      <c r="AD141" s="6"/>
      <c r="AE141" s="6"/>
      <c r="AF141" s="6"/>
      <c r="BH141"/>
      <c r="BI141"/>
    </row>
    <row r="142" spans="1:61" ht="14.4" x14ac:dyDescent="0.3">
      <c r="BH142"/>
      <c r="BI142"/>
    </row>
    <row r="143" spans="1:61" ht="14.4" x14ac:dyDescent="0.3">
      <c r="BH143"/>
      <c r="BI143"/>
    </row>
    <row r="144" spans="1:61" ht="14.4" x14ac:dyDescent="0.3">
      <c r="BH144"/>
      <c r="BI144"/>
    </row>
    <row r="145" spans="60:61" ht="14.4" x14ac:dyDescent="0.3">
      <c r="BH145"/>
      <c r="BI145"/>
    </row>
    <row r="146" spans="60:61" ht="14.4" x14ac:dyDescent="0.3">
      <c r="BH146"/>
      <c r="BI146"/>
    </row>
    <row r="147" spans="60:61" ht="14.4" x14ac:dyDescent="0.3">
      <c r="BH147"/>
      <c r="BI147"/>
    </row>
    <row r="148" spans="60:61" ht="14.4" x14ac:dyDescent="0.3">
      <c r="BH148"/>
      <c r="BI148"/>
    </row>
    <row r="149" spans="60:61" ht="14.4" x14ac:dyDescent="0.3">
      <c r="BH149"/>
      <c r="BI149"/>
    </row>
    <row r="150" spans="60:61" ht="14.4" x14ac:dyDescent="0.3">
      <c r="BH150"/>
      <c r="BI150"/>
    </row>
    <row r="151" spans="60:61" ht="14.4" x14ac:dyDescent="0.3">
      <c r="BH151"/>
      <c r="BI151"/>
    </row>
    <row r="152" spans="60:61" ht="14.4" x14ac:dyDescent="0.3">
      <c r="BH152"/>
      <c r="BI152"/>
    </row>
    <row r="153" spans="60:61" ht="14.4" x14ac:dyDescent="0.3">
      <c r="BH153"/>
      <c r="BI153"/>
    </row>
    <row r="154" spans="60:61" ht="11.25" customHeight="1" x14ac:dyDescent="0.25"/>
    <row r="155" spans="60:61" ht="11.25" customHeight="1" x14ac:dyDescent="0.25"/>
    <row r="156" spans="60:61" ht="11.25" customHeight="1" x14ac:dyDescent="0.25"/>
    <row r="157" spans="60:61" ht="11.25" customHeight="1" x14ac:dyDescent="0.25"/>
    <row r="158" spans="60:61" ht="11.25" customHeight="1" x14ac:dyDescent="0.25"/>
    <row r="159" spans="60:61" ht="11.25" customHeight="1" x14ac:dyDescent="0.25"/>
    <row r="160" spans="60:61" ht="11.25" customHeight="1" x14ac:dyDescent="0.25"/>
    <row r="161" ht="11.25" customHeight="1" x14ac:dyDescent="0.25"/>
    <row r="162" ht="11.25" customHeight="1" x14ac:dyDescent="0.25"/>
    <row r="163" ht="11.25" customHeight="1" x14ac:dyDescent="0.25"/>
    <row r="164" ht="11.25" customHeight="1" x14ac:dyDescent="0.25"/>
    <row r="165" ht="11.25" customHeight="1" x14ac:dyDescent="0.25"/>
    <row r="166" ht="11.25" customHeight="1" x14ac:dyDescent="0.25"/>
    <row r="167" ht="11.25" customHeight="1" x14ac:dyDescent="0.25"/>
    <row r="168" ht="11.25" customHeight="1" x14ac:dyDescent="0.25"/>
    <row r="169" ht="11.25" customHeight="1" x14ac:dyDescent="0.25"/>
    <row r="170" ht="11.25" customHeight="1" x14ac:dyDescent="0.25"/>
    <row r="171" ht="11.25" customHeight="1" x14ac:dyDescent="0.25"/>
    <row r="172" ht="11.25" customHeight="1" x14ac:dyDescent="0.25"/>
    <row r="173" ht="11.25" customHeight="1" x14ac:dyDescent="0.25"/>
    <row r="174" ht="11.25" customHeight="1" x14ac:dyDescent="0.25"/>
    <row r="175" ht="11.25" customHeight="1" x14ac:dyDescent="0.25"/>
    <row r="176" ht="11.25" customHeight="1" x14ac:dyDescent="0.25"/>
    <row r="177" ht="11.25" customHeight="1" x14ac:dyDescent="0.25"/>
    <row r="178" ht="11.25" customHeight="1" x14ac:dyDescent="0.25"/>
    <row r="179" ht="11.25" customHeight="1" x14ac:dyDescent="0.25"/>
    <row r="180" ht="11.25" customHeight="1" x14ac:dyDescent="0.25"/>
    <row r="181" ht="11.25" customHeight="1" x14ac:dyDescent="0.25"/>
    <row r="182" ht="11.25" customHeight="1" x14ac:dyDescent="0.25"/>
    <row r="183" ht="11.25" customHeight="1" x14ac:dyDescent="0.25"/>
    <row r="184" ht="11.25" customHeight="1" x14ac:dyDescent="0.25"/>
    <row r="185" ht="11.25" customHeight="1" x14ac:dyDescent="0.25"/>
    <row r="186" ht="11.25" customHeight="1" x14ac:dyDescent="0.25"/>
    <row r="187" ht="11.25" customHeight="1" x14ac:dyDescent="0.25"/>
    <row r="188" ht="11.25" customHeight="1" x14ac:dyDescent="0.25"/>
    <row r="189" ht="11.25" customHeight="1" x14ac:dyDescent="0.25"/>
    <row r="190" ht="11.25" customHeight="1" x14ac:dyDescent="0.25"/>
    <row r="191" ht="11.25" customHeight="1" x14ac:dyDescent="0.25"/>
    <row r="192" ht="11.25" customHeight="1" x14ac:dyDescent="0.25"/>
    <row r="193" ht="11.25" customHeight="1" x14ac:dyDescent="0.25"/>
    <row r="194" ht="11.25" customHeight="1" x14ac:dyDescent="0.25"/>
    <row r="195" ht="11.25" customHeight="1" x14ac:dyDescent="0.25"/>
    <row r="196" ht="11.25" customHeight="1" x14ac:dyDescent="0.25"/>
    <row r="197" ht="11.25" customHeight="1" x14ac:dyDescent="0.25"/>
  </sheetData>
  <phoneticPr fontId="2" type="noConversion"/>
  <conditionalFormatting sqref="B1:B1048576">
    <cfRule type="duplicateValues" priority="1"/>
  </conditionalFormatting>
  <pageMargins left="0.511811024" right="0.511811024" top="0.78740157499999996" bottom="0.78740157499999996" header="0.31496062000000002" footer="0.31496062000000002"/>
  <pageSetup paperSize="9" orientation="portrait" r:id="rId2"/>
  <drawing r:id="rId3"/>
  <legacyDrawing r:id="rId4"/>
  <tableParts count="1">
    <tablePart r:id="rId5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03A3F92C3AB4E343BC4DAC71C62ABDBF" ma:contentTypeVersion="14" ma:contentTypeDescription="Crie um novo documento." ma:contentTypeScope="" ma:versionID="02af7f34cfc959445195c115fccde719">
  <xsd:schema xmlns:xsd="http://www.w3.org/2001/XMLSchema" xmlns:xs="http://www.w3.org/2001/XMLSchema" xmlns:p="http://schemas.microsoft.com/office/2006/metadata/properties" xmlns:ns2="c90e63b0-3cd4-480f-ac45-e3bb3edfb9b7" xmlns:ns3="7fbafa7c-bbb7-432f-afe7-2b5b6011276d" targetNamespace="http://schemas.microsoft.com/office/2006/metadata/properties" ma:root="true" ma:fieldsID="6df951792b3ea6061502799084cca349" ns2:_="" ns3:_="">
    <xsd:import namespace="c90e63b0-3cd4-480f-ac45-e3bb3edfb9b7"/>
    <xsd:import namespace="7fbafa7c-bbb7-432f-afe7-2b5b6011276d"/>
    <xsd:element name="properties">
      <xsd:complexType>
        <xsd:sequence>
          <xsd:element name="documentManagement">
            <xsd:complexType>
              <xsd:all>
                <xsd:element ref="ns2:_dlc_DocId" minOccurs="0"/>
                <xsd:element ref="ns2:_dlc_DocIdUrl" minOccurs="0"/>
                <xsd:element ref="ns2:_dlc_DocIdPersistId" minOccurs="0"/>
                <xsd:element ref="ns3:MediaServiceMetadata" minOccurs="0"/>
                <xsd:element ref="ns3:MediaServiceFastMetadata" minOccurs="0"/>
                <xsd:element ref="ns2:SharedWithUsers" minOccurs="0"/>
                <xsd:element ref="ns2:SharedWithDetails" minOccurs="0"/>
                <xsd:element ref="ns3:MediaServiceDateTaken" minOccurs="0"/>
                <xsd:element ref="ns3:MediaLengthInSeconds" minOccurs="0"/>
                <xsd:element ref="ns3:lcf76f155ced4ddcb4097134ff3c332f" minOccurs="0"/>
                <xsd:element ref="ns2:TaxCatchAll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ObjectDetectorVersions" minOccurs="0"/>
                <xsd:element ref="ns3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90e63b0-3cd4-480f-ac45-e3bb3edfb9b7" elementFormDefault="qualified">
    <xsd:import namespace="http://schemas.microsoft.com/office/2006/documentManagement/types"/>
    <xsd:import namespace="http://schemas.microsoft.com/office/infopath/2007/PartnerControls"/>
    <xsd:element name="_dlc_DocId" ma:index="8" nillable="true" ma:displayName="Valor da ID do Documento" ma:description="O valor da ID do documento atribuída a este item." ma:indexed="true" ma:internalName="_dlc_DocId" ma:readOnly="true">
      <xsd:simpleType>
        <xsd:restriction base="dms:Text"/>
      </xsd:simpleType>
    </xsd:element>
    <xsd:element name="_dlc_DocIdUrl" ma:index="9" nillable="true" ma:displayName="ID do Documento" ma:description="Link permanente para este documento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0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SharedWithUsers" ma:index="13" nillable="true" ma:displayName="Compartilhado com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4" nillable="true" ma:displayName="Detalhes de Compartilhado Com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550b4359-88c1-4fe7-a7b0-41a891cc2275}" ma:internalName="TaxCatchAll" ma:showField="CatchAllData" ma:web="c90e63b0-3cd4-480f-ac45-e3bb3edfb9b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fbafa7c-bbb7-432f-afe7-2b5b6011276d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11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2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  <xsd:element name="lcf76f155ced4ddcb4097134ff3c332f" ma:index="18" nillable="true" ma:taxonomy="true" ma:internalName="lcf76f155ced4ddcb4097134ff3c332f" ma:taxonomyFieldName="MediaServiceImageTags" ma:displayName="Marcações de imagem" ma:readOnly="false" ma:fieldId="{5cf76f15-5ced-4ddc-b409-7134ff3c332f}" ma:taxonomyMulti="true" ma:sspId="727b2014-210a-4a93-99ee-8eaa0287e7d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0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2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ObjectDetectorVersions" ma:index="23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ú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c90e63b0-3cd4-480f-ac45-e3bb3edfb9b7" xsi:nil="true"/>
    <lcf76f155ced4ddcb4097134ff3c332f xmlns="7fbafa7c-bbb7-432f-afe7-2b5b6011276d">
      <Terms xmlns="http://schemas.microsoft.com/office/infopath/2007/PartnerControls"/>
    </lcf76f155ced4ddcb4097134ff3c332f>
    <_dlc_DocId xmlns="c90e63b0-3cd4-480f-ac45-e3bb3edfb9b7">U5NXSMUHKHSZ-946393973-24241</_dlc_DocId>
    <_dlc_DocIdUrl xmlns="c90e63b0-3cd4-480f-ac45-e3bb3edfb9b7">
      <Url>https://grupotora.sharepoint.com/sites/Fileserver.FJXSuprimentos/_layouts/15/DocIdRedir.aspx?ID=U5NXSMUHKHSZ-946393973-24241</Url>
      <Description>U5NXSMUHKHSZ-946393973-24241</Description>
    </_dlc_DocIdUrl>
  </documentManagement>
</p:properties>
</file>

<file path=customXml/item4.xml>��
</file>

<file path=customXml/item5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Version=16.0.0.0,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Version=16.0.0.0, Culture=neutral, PublicKeyToken=71e9bce111e9429c</Assembly>
    <Class>Microsoft.Office.DocumentManagement.Internal.DocIdHandler</Class>
    <Data/>
    <Filter/>
  </Receiver>
</spe:Receivers>
</file>

<file path=customXml/itemProps1.xml><?xml version="1.0" encoding="utf-8"?>
<ds:datastoreItem xmlns:ds="http://schemas.openxmlformats.org/officeDocument/2006/customXml" ds:itemID="{A23C440F-9243-4B5C-943E-C7F2419AAF3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c90e63b0-3cd4-480f-ac45-e3bb3edfb9b7"/>
    <ds:schemaRef ds:uri="7fbafa7c-bbb7-432f-afe7-2b5b6011276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A4617EE-A1E1-43DD-A9F4-48BE6C98FFA8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0633F029-225B-4BEC-982F-7CE9D5533F11}">
  <ds:schemaRefs>
    <ds:schemaRef ds:uri="http://purl.org/dc/dcmitype/"/>
    <ds:schemaRef ds:uri="http://schemas.microsoft.com/office/2006/documentManagement/types"/>
    <ds:schemaRef ds:uri="http://purl.org/dc/elements/1.1/"/>
    <ds:schemaRef ds:uri="http://schemas.microsoft.com/office/2006/metadata/properties"/>
    <ds:schemaRef ds:uri="c90e63b0-3cd4-480f-ac45-e3bb3edfb9b7"/>
    <ds:schemaRef ds:uri="7fbafa7c-bbb7-432f-afe7-2b5b6011276d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purl.org/dc/terms/"/>
  </ds:schemaRefs>
</ds:datastoreItem>
</file>

<file path=customXml/itemProps4.xml><?xml version="1.0" encoding="utf-8"?>
<ds:datastoreItem xmlns:ds="http://schemas.openxmlformats.org/officeDocument/2006/customXml" ds:itemID="{EDD049F0-DAA0-4BB1-8539-D1DDBD31FF87}">
  <ds:schemaRefs>
    <ds:schemaRef ds:uri="http://schemas.microsoft.com/DataMashup"/>
  </ds:schemaRefs>
</ds:datastoreItem>
</file>

<file path=customXml/itemProps5.xml><?xml version="1.0" encoding="utf-8"?>
<ds:datastoreItem xmlns:ds="http://schemas.openxmlformats.org/officeDocument/2006/customXml" ds:itemID="{EB262256-DDBE-441B-B88D-7835DDD4DC50}">
  <ds:schemaRefs>
    <ds:schemaRef ds:uri="http://schemas.microsoft.com/sharepoint/event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Forecast_Custo 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Ronaldo Rodrigues Silveiro</dc:creator>
  <cp:lastModifiedBy>Ronaldo Rodrigues</cp:lastModifiedBy>
  <cp:lastPrinted>2026-04-12T14:38:29Z</cp:lastPrinted>
  <dcterms:created xsi:type="dcterms:W3CDTF">2026-02-05T13:14:12Z</dcterms:created>
  <dcterms:modified xsi:type="dcterms:W3CDTF">2026-04-12T14:45:11Z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0x01010003A3F92C3AB4E343BC4DAC71C62ABDBF</vt:lpwstr>
  </property>
  <property fmtid="{D5CDD505-2E9C-101B-9397-08002B2CF9AE}" pid="3" name="_dlc_DocIdItemGuid">
    <vt:lpwstr>b5361016-c46a-4da6-a9c8-487cf227ecd1</vt:lpwstr>
  </property>
  <property fmtid="{D5CDD505-2E9C-101B-9397-08002B2CF9AE}" pid="4" name="MediaServiceImageTags">
    <vt:lpwstr/>
  </property>
</Properties>
</file>